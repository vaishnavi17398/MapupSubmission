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vaish\Downloads\"/>
    </mc:Choice>
  </mc:AlternateContent>
  <xr:revisionPtr revIDLastSave="0" documentId="13_ncr:1_{F9821E0C-09FE-473B-9C38-81F84EE6BE8B}" xr6:coauthVersionLast="47" xr6:coauthVersionMax="47" xr10:uidLastSave="{00000000-0000-0000-0000-000000000000}"/>
  <bookViews>
    <workbookView xWindow="-110" yWindow="-110" windowWidth="19420" windowHeight="1030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23" i="20" l="1"/>
  <c r="C22" i="19"/>
  <c r="C5" i="15"/>
  <c r="C24" i="20"/>
  <c r="C25" i="20"/>
  <c r="C26" i="20"/>
  <c r="C27" i="20"/>
  <c r="C28" i="20"/>
  <c r="C29" i="20"/>
  <c r="C30" i="20"/>
  <c r="C31" i="20"/>
  <c r="C32" i="20"/>
  <c r="C33" i="20"/>
  <c r="C34" i="20"/>
  <c r="C35" i="20"/>
  <c r="C22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6" i="18"/>
  <c r="E20" i="18"/>
  <c r="E21" i="18"/>
  <c r="E22" i="18"/>
  <c r="E23" i="18"/>
  <c r="E24" i="18"/>
  <c r="E25" i="18"/>
  <c r="E26" i="18"/>
  <c r="E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D6" i="18"/>
  <c r="D26" i="18"/>
  <c r="D27" i="18"/>
  <c r="D18" i="18"/>
  <c r="D19" i="18"/>
  <c r="D20" i="18"/>
  <c r="D21" i="18"/>
  <c r="D22" i="18"/>
  <c r="D23" i="18"/>
  <c r="D24" i="18"/>
  <c r="D25" i="18"/>
  <c r="D7" i="18"/>
  <c r="D8" i="18"/>
  <c r="D9" i="18"/>
  <c r="D10" i="18"/>
  <c r="D11" i="18"/>
  <c r="D12" i="18"/>
  <c r="D13" i="18"/>
  <c r="D14" i="18"/>
  <c r="D15" i="18"/>
  <c r="D16" i="18"/>
  <c r="D17" i="18"/>
  <c r="C6" i="18"/>
  <c r="C27" i="18"/>
  <c r="C16" i="18"/>
  <c r="C17" i="18"/>
  <c r="C18" i="18"/>
  <c r="C19" i="18"/>
  <c r="C20" i="18"/>
  <c r="C21" i="18"/>
  <c r="C23" i="18"/>
  <c r="C24" i="18"/>
  <c r="C25" i="18"/>
  <c r="C26" i="18"/>
  <c r="C7" i="18"/>
  <c r="C8" i="18"/>
  <c r="C9" i="18"/>
  <c r="C10" i="18"/>
  <c r="C11" i="18"/>
  <c r="C12" i="18"/>
  <c r="C13" i="18"/>
  <c r="C14" i="18"/>
  <c r="C15" i="18"/>
  <c r="B7" i="18"/>
  <c r="B8" i="18"/>
  <c r="B9" i="18"/>
  <c r="B10" i="18"/>
  <c r="B11" i="18"/>
  <c r="B12" i="18"/>
  <c r="B13" i="18"/>
  <c r="B14" i="18"/>
  <c r="B15" i="18"/>
  <c r="B16" i="18"/>
  <c r="B17" i="18"/>
  <c r="B6" i="18"/>
  <c r="B23" i="18"/>
  <c r="B24" i="18"/>
  <c r="B26" i="18"/>
  <c r="B27" i="18"/>
  <c r="B19" i="18"/>
  <c r="B20" i="18"/>
  <c r="B21" i="18"/>
  <c r="B22" i="18"/>
  <c r="B25" i="18"/>
  <c r="B18" i="18"/>
  <c r="F30" i="18" l="1"/>
  <c r="E28" i="18"/>
  <c r="B29" i="18"/>
  <c r="D28" i="18"/>
  <c r="E30" i="18"/>
  <c r="D30" i="18"/>
  <c r="B30" i="18"/>
  <c r="F29" i="18"/>
  <c r="F28" i="18"/>
  <c r="E29" i="18"/>
  <c r="B28" i="18"/>
  <c r="D29" i="18"/>
  <c r="C29" i="18"/>
  <c r="C28" i="18"/>
  <c r="C30" i="18"/>
</calcChain>
</file>

<file path=xl/sharedStrings.xml><?xml version="1.0" encoding="utf-8"?>
<sst xmlns="http://schemas.openxmlformats.org/spreadsheetml/2006/main" count="406" uniqueCount="183">
  <si>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</si>
  <si>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</si>
  <si>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</si>
  <si>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</si>
  <si>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</si>
  <si>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</si>
  <si>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</si>
  <si>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</si>
  <si>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</si>
  <si>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</si>
  <si>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</si>
  <si>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</si>
  <si>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</si>
  <si>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</si>
  <si>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</si>
  <si>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</si>
  <si>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</si>
  <si>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</si>
  <si>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</si>
  <si>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</si>
  <si>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</si>
  <si>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</si>
  <si>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</si>
  <si>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</si>
  <si>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</si>
  <si>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</si>
  <si>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</si>
  <si>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</si>
  <si>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</si>
  <si>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</si>
  <si>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</si>
  <si>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</si>
  <si>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</si>
  <si>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</si>
  <si>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</si>
  <si>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</si>
  <si>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</si>
  <si>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</si>
  <si>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</si>
  <si>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</si>
  <si>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</si>
  <si>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</si>
  <si>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</si>
  <si>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</si>
  <si>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</si>
  <si>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</si>
  <si>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</si>
  <si>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</si>
  <si>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</si>
  <si>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</si>
  <si>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</si>
  <si>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</si>
  <si>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</si>
  <si>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</si>
  <si>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</si>
  <si>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</si>
  <si>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</si>
  <si>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</si>
  <si>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</si>
  <si>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</si>
  <si>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</si>
  <si>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</si>
  <si>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</si>
  <si>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</si>
  <si>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</si>
  <si>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</si>
  <si>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</si>
  <si>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</si>
  <si>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</si>
  <si>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</si>
  <si>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</si>
  <si>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</si>
  <si>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</si>
  <si>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</si>
  <si>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</si>
  <si>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</si>
  <si>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</si>
  <si>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</si>
  <si>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</si>
  <si>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</si>
  <si>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</si>
  <si>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</si>
  <si>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</si>
  <si>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</si>
  <si>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</si>
  <si>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</si>
  <si>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</si>
  <si>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</si>
  <si>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</si>
  <si>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</si>
  <si>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</si>
  <si>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</si>
  <si>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</si>
  <si>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</si>
  <si>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</si>
  <si>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</si>
  <si>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</si>
  <si>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</si>
  <si>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</si>
  <si>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</si>
  <si>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</si>
  <si>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</si>
  <si>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</si>
  <si>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</si>
  <si>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</si>
  <si>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</si>
  <si>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</si>
  <si>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</si>
  <si>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</si>
  <si>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</si>
  <si>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</si>
  <si>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</si>
  <si>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</si>
  <si>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</si>
  <si>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</si>
  <si>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</si>
  <si>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</si>
  <si>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</si>
  <si>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</si>
  <si>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</si>
  <si>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</si>
  <si>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</si>
  <si>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</si>
  <si>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</si>
  <si>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</si>
  <si>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</si>
  <si>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</si>
  <si>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</si>
  <si>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</si>
  <si>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</si>
  <si>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</si>
  <si>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</si>
  <si>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</si>
  <si>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</si>
  <si>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</si>
  <si>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</si>
  <si>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</si>
  <si>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</si>
  <si>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</si>
  <si>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</si>
  <si>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</si>
  <si>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</si>
  <si>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</si>
  <si>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</si>
  <si>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</si>
  <si>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</si>
  <si>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</si>
  <si>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</si>
  <si>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</si>
  <si>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</si>
  <si>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</si>
  <si>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</si>
  <si>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</si>
  <si>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</si>
  <si>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</si>
  <si>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</si>
  <si>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</si>
  <si>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</si>
  <si>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</si>
  <si>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</si>
  <si>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</si>
  <si>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</si>
  <si>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</si>
  <si>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</si>
  <si>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</si>
  <si>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</si>
  <si>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</si>
  <si>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</si>
  <si>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</si>
  <si>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</si>
  <si>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</si>
  <si>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</si>
  <si>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</si>
  <si>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</si>
  <si>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</si>
  <si>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</si>
  <si>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</si>
  <si>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Text to Columns</t>
  </si>
  <si>
    <t xml:space="preserve">The Text to Columns functionality in Excel is a tool that allows you to split data in a single column into multiple columns based on a specified delimiter which is '-' here. </t>
  </si>
  <si>
    <t>Index, match and vlookup formulas</t>
  </si>
  <si>
    <t>Sum and iferror</t>
  </si>
  <si>
    <t>Using "20" in the IFERROR function will replace N/A errors with 20. and then use SUM to get total sales.</t>
  </si>
  <si>
    <t>The index function is  used to retrieve the value from the table A(B10:J18). Row is A10:A18 here and column is B9:I9 here. First Match function returns row label and second match function return column label.These labels are used to return values in table C using table A. Vlookup function finds Corresponding name for ids mentioned in table C using table B and give output to match function. At the end ,index function retrieves the value at the intersection of the specified row and column.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</si>
</sst>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;@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9">
    <xf numFmtId="0" fontId="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6" fillId="0" borderId="0">
      <alignment vertical="top" wrapText="1"/>
    </xf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52">
    <xf numFmtId="0" fontId="0" fillId="0" borderId="0" xfId="0"/>
    <xf numFmtId="0" fontId="4" fillId="0" borderId="0" xfId="0" applyFont="1"/>
    <xf numFmtId="0" fontId="9" fillId="0" borderId="0" xfId="0" applyFont="1"/>
    <xf numFmtId="0" fontId="8" fillId="0" borderId="0" xfId="0" applyFont="1"/>
    <xf numFmtId="0" fontId="12" fillId="4" borderId="0" xfId="0" applyFont="1" applyFill="1"/>
    <xf numFmtId="0" fontId="7" fillId="0" borderId="0" xfId="0" applyFont="1"/>
    <xf numFmtId="0" fontId="5" fillId="0" borderId="0" xfId="0" applyFont="1" applyAlignment="1">
      <alignment horizontal="center"/>
    </xf>
    <xf numFmtId="0" fontId="4" fillId="0" borderId="2" xfId="0" applyFont="1" applyBorder="1"/>
    <xf numFmtId="0" fontId="4" fillId="0" borderId="3" xfId="0" applyFont="1" applyBorder="1"/>
    <xf numFmtId="0" fontId="4" fillId="0" borderId="4" xfId="0" applyFont="1" applyBorder="1"/>
    <xf numFmtId="0" fontId="4" fillId="0" borderId="5" xfId="0" applyFont="1" applyBorder="1"/>
    <xf numFmtId="0" fontId="4" fillId="0" borderId="6" xfId="0" applyFont="1" applyBorder="1"/>
    <xf numFmtId="0" fontId="4" fillId="0" borderId="7" xfId="0" applyFont="1" applyBorder="1"/>
    <xf numFmtId="0" fontId="4" fillId="0" borderId="8" xfId="0" applyFont="1" applyBorder="1"/>
    <xf numFmtId="0" fontId="4" fillId="0" borderId="9" xfId="0" applyFont="1" applyBorder="1"/>
    <xf numFmtId="0" fontId="4" fillId="0" borderId="10" xfId="0" applyFont="1" applyBorder="1"/>
    <xf numFmtId="0" fontId="4" fillId="0" borderId="11" xfId="0" applyFont="1" applyBorder="1"/>
    <xf numFmtId="0" fontId="4" fillId="0" borderId="1" xfId="0" applyFont="1" applyBorder="1"/>
    <xf numFmtId="0" fontId="13" fillId="0" borderId="0" xfId="1" applyFont="1"/>
    <xf numFmtId="0" fontId="8" fillId="0" borderId="1" xfId="0" applyFont="1" applyBorder="1"/>
    <xf numFmtId="0" fontId="8" fillId="0" borderId="9" xfId="0" applyFont="1" applyBorder="1"/>
    <xf numFmtId="0" fontId="8" fillId="2" borderId="1" xfId="0" applyFont="1" applyFill="1" applyBorder="1"/>
    <xf numFmtId="0" fontId="8" fillId="3" borderId="1" xfId="0" applyFont="1" applyFill="1" applyBorder="1"/>
    <xf numFmtId="0" fontId="8" fillId="2" borderId="11" xfId="0" applyFont="1" applyFill="1" applyBorder="1"/>
    <xf numFmtId="164" fontId="4" fillId="0" borderId="0" xfId="0" applyNumberFormat="1" applyFont="1"/>
    <xf numFmtId="0" fontId="9" fillId="0" borderId="1" xfId="0" applyFont="1" applyBorder="1"/>
    <xf numFmtId="0" fontId="10" fillId="0" borderId="1" xfId="0" applyFont="1" applyBorder="1"/>
    <xf numFmtId="0" fontId="5" fillId="0" borderId="0" xfId="0" applyFont="1"/>
    <xf numFmtId="164" fontId="5" fillId="0" borderId="0" xfId="0" applyNumberFormat="1" applyFont="1"/>
    <xf numFmtId="0" fontId="8" fillId="2" borderId="0" xfId="0" applyFont="1" applyFill="1"/>
    <xf numFmtId="0" fontId="8" fillId="3" borderId="0" xfId="0" applyFont="1" applyFill="1"/>
    <xf numFmtId="0" fontId="4" fillId="5" borderId="1" xfId="0" applyFont="1" applyFill="1" applyBorder="1"/>
    <xf numFmtId="165" fontId="4" fillId="0" borderId="1" xfId="0" applyNumberFormat="1" applyFont="1" applyBorder="1"/>
    <xf numFmtId="0" fontId="8" fillId="0" borderId="1" xfId="0" applyFont="1" applyBorder="1" applyAlignment="1">
      <alignment vertical="center"/>
    </xf>
    <xf numFmtId="0" fontId="15" fillId="0" borderId="0" xfId="0" applyFont="1"/>
    <xf numFmtId="0" fontId="9" fillId="0" borderId="2" xfId="0" applyFont="1" applyBorder="1"/>
    <xf numFmtId="0" fontId="10" fillId="0" borderId="9" xfId="0" applyFont="1" applyBorder="1"/>
    <xf numFmtId="0" fontId="9" fillId="0" borderId="7" xfId="0" applyFont="1" applyBorder="1"/>
    <xf numFmtId="0" fontId="9" fillId="0" borderId="9" xfId="0" applyFont="1" applyBorder="1"/>
    <xf numFmtId="0" fontId="14" fillId="0" borderId="1" xfId="0" applyFont="1" applyBorder="1"/>
    <xf numFmtId="0" fontId="16" fillId="0" borderId="0" xfId="0" applyFont="1"/>
    <xf numFmtId="0" fontId="17" fillId="0" borderId="0" xfId="0" applyFont="1"/>
    <xf numFmtId="0" fontId="18" fillId="4" borderId="0" xfId="1" applyFont="1" applyFill="1" applyAlignment="1">
      <alignment horizontal="center"/>
    </xf>
    <xf numFmtId="0" fontId="14" fillId="0" borderId="0" xfId="0" applyFont="1"/>
    <xf numFmtId="0" fontId="9" fillId="0" borderId="3" xfId="0" applyFont="1" applyBorder="1"/>
    <xf numFmtId="166" fontId="8" fillId="0" borderId="0" xfId="0" applyNumberFormat="1" applyFont="1"/>
    <xf numFmtId="166" fontId="4" fillId="0" borderId="0" xfId="0" applyNumberFormat="1" applyFont="1"/>
    <xf numFmtId="0" fontId="4" fillId="0" borderId="0" xfId="0" applyFont="1"/>
    <xf numFmtId="0" fontId="4" fillId="0" borderId="1" xfId="0" applyFont="1" applyBorder="1"/>
    <xf numFmtId="164" fontId="4" fillId="0" borderId="0" xfId="0" applyNumberFormat="1" applyFont="1"/>
    <xf numFmtId="14" fontId="4" fillId="0" borderId="0" xfId="0" applyNumberFormat="1" applyFont="1"/>
    <xf numFmtId="0" fontId="4" fillId="0" borderId="0" xfId="0" applyFont="1" applyAlignment="1"/>
  </cellXfs>
  <cellStyles count="19">
    <cellStyle name="Normal" xfId="0" builtinId="0"/>
    <cellStyle name="Normal 2" xfId="1" xr:uid="{00000000-0005-0000-0000-000001000000}"/>
    <cellStyle name="Normal 2 2" xfId="3" xr:uid="{00000000-0005-0000-0000-000003000000}"/>
    <cellStyle name="Normal 2 2 2" xfId="13" xr:uid="{420FD7A0-4981-448D-BF6D-AFC5A67FA71B}"/>
    <cellStyle name="Normal 2 3" xfId="7" xr:uid="{00000000-0005-0000-0000-000007000000}"/>
    <cellStyle name="Normal 2 3 2" xfId="16" xr:uid="{9550F8B4-5DD4-4C47-A5A6-2C7B7533F9B4}"/>
    <cellStyle name="Normal 2 4" xfId="11" xr:uid="{9EF5AC64-7E9C-466B-A14E-6F42430446BE}"/>
    <cellStyle name="Normal 3" xfId="2" xr:uid="{00000000-0005-0000-0000-000002000000}"/>
    <cellStyle name="Normal 3 2" xfId="8" xr:uid="{00000000-0005-0000-0000-000008000000}"/>
    <cellStyle name="Normal 3 2 2" xfId="17" xr:uid="{19A30CF8-BAE5-48B0-ADB8-0E7DC5428054}"/>
    <cellStyle name="Normal 3 3" xfId="12" xr:uid="{E830B3B8-A2E0-4F7F-ADB9-93C2D97034A5}"/>
    <cellStyle name="Normal 4" xfId="4" xr:uid="{00000000-0005-0000-0000-000004000000}"/>
    <cellStyle name="Normal 4 2" xfId="14" xr:uid="{4141B5A5-33EE-442F-8320-A794AA01F6B7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5 3 2" xfId="18" xr:uid="{A88A2E99-C8D9-4C5D-8673-1B581C13AB9D}"/>
    <cellStyle name="Normal 5 4" xfId="15" xr:uid="{F2C38715-3447-45F6-92B1-C79A712C11CB}"/>
    <cellStyle name="Normal 7" xfId="9" xr:uid="{00000000-0005-0000-0000-000009000000}"/>
  </cellStyles>
  <dxfs count="98">
    <dxf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theme="1"/>
      </font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color theme="1"/>
      </font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theme="1"/>
      </font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theme="1"/>
      </font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theme="1"/>
      </font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theme="1"/>
      </font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lor theme="1"/>
      </font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97"/>
      <tableStyleElement type="headerRow" dxfId="9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C13" sqref="C13"/>
    </sheetView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5" x14ac:dyDescent="0.35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6" t="s">
        <v>171</v>
      </c>
      <c r="B9" s="26" t="s">
        <v>169</v>
      </c>
    </row>
    <row r="10" spans="1:3" x14ac:dyDescent="0.3">
      <c r="A10" s="35" t="s">
        <v>172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170</v>
      </c>
      <c r="B15" s="25">
        <v>125</v>
      </c>
    </row>
  </sheetData>
  <phoneticPr fontId="1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opLeftCell="E1" zoomScaleNormal="100" workbookViewId="0">
      <pane ySplit="1" topLeftCell="A2" activePane="bottomLeft" state="frozen"/>
      <selection pane="bottomLeft" activeCell="D10" sqref="D10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4" customWidth="1"/>
    <col min="5" max="5" width="9.19921875" style="1" bestFit="1" customWidth="1"/>
    <col min="6" max="6" width="10.3984375" style="24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46" bestFit="1" customWidth="1"/>
    <col min="25" max="16384" width="9" style="1"/>
  </cols>
  <sheetData>
    <row r="1" spans="1:24" s="3" customFormat="1" ht="14.75" customHeight="1" x14ac:dyDescent="0.3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5" t="s">
        <v>105</v>
      </c>
    </row>
    <row r="2" spans="1:24" x14ac:dyDescent="0.35">
      <c r="A2" s="47" t="s">
        <v>40</v>
      </c>
      <c r="B2" s="47">
        <v>20000</v>
      </c>
      <c r="C2" s="47" t="s">
        <v>5</v>
      </c>
      <c r="D2" s="49">
        <v>0</v>
      </c>
      <c r="E2" s="47" t="s">
        <v>6</v>
      </c>
      <c r="F2" s="49">
        <v>0.99998842592592596</v>
      </c>
      <c r="G2" s="47">
        <v>2.7</v>
      </c>
      <c r="H2" s="47">
        <v>3.6</v>
      </c>
      <c r="I2" s="47">
        <v>4.2</v>
      </c>
      <c r="J2" s="47">
        <v>-1</v>
      </c>
      <c r="K2" s="47">
        <v>-1</v>
      </c>
      <c r="L2" s="47">
        <v>-1</v>
      </c>
      <c r="M2" s="47">
        <v>5.3</v>
      </c>
      <c r="N2" s="47">
        <v>7.6</v>
      </c>
      <c r="O2" s="47">
        <v>8.9</v>
      </c>
      <c r="P2" s="47">
        <v>2.7</v>
      </c>
      <c r="Q2" s="47">
        <v>3.6</v>
      </c>
      <c r="R2" s="47">
        <v>4.2</v>
      </c>
      <c r="S2" s="47">
        <v>7.6</v>
      </c>
      <c r="T2" s="47">
        <v>8.9</v>
      </c>
      <c r="U2" s="47">
        <v>3.6</v>
      </c>
      <c r="V2" s="47">
        <v>4.2</v>
      </c>
      <c r="W2" s="47">
        <v>4.2</v>
      </c>
      <c r="X2" s="50">
        <v>45051</v>
      </c>
    </row>
    <row r="3" spans="1:24" x14ac:dyDescent="0.35">
      <c r="A3" s="47" t="s">
        <v>4</v>
      </c>
      <c r="B3" s="47">
        <v>20002</v>
      </c>
      <c r="C3" s="47" t="s">
        <v>5</v>
      </c>
      <c r="D3" s="49">
        <v>0</v>
      </c>
      <c r="E3" s="47" t="s">
        <v>6</v>
      </c>
      <c r="F3" s="49">
        <v>0.99998842592592596</v>
      </c>
      <c r="G3" s="47">
        <v>2.7</v>
      </c>
      <c r="H3" s="47">
        <v>3.6</v>
      </c>
      <c r="I3" s="47">
        <v>4.2</v>
      </c>
      <c r="J3" s="47">
        <v>-1</v>
      </c>
      <c r="K3" s="47">
        <v>-1</v>
      </c>
      <c r="L3" s="47">
        <v>-1</v>
      </c>
      <c r="M3" s="47">
        <v>5.3</v>
      </c>
      <c r="N3" s="47">
        <v>7.6</v>
      </c>
      <c r="O3" s="47">
        <v>8.9</v>
      </c>
      <c r="P3" s="47">
        <v>2.7</v>
      </c>
      <c r="Q3" s="47">
        <v>3.6</v>
      </c>
      <c r="R3" s="47">
        <v>4.2</v>
      </c>
      <c r="S3" s="47">
        <v>7.6</v>
      </c>
      <c r="T3" s="47">
        <v>8.9</v>
      </c>
      <c r="U3" s="47">
        <v>3.6</v>
      </c>
      <c r="V3" s="47">
        <v>4.2</v>
      </c>
      <c r="W3" s="47">
        <v>4.2</v>
      </c>
      <c r="X3" s="50">
        <v>45048</v>
      </c>
    </row>
    <row r="4" spans="1:24" x14ac:dyDescent="0.35">
      <c r="A4" s="47" t="s">
        <v>7</v>
      </c>
      <c r="B4" s="47">
        <v>20004</v>
      </c>
      <c r="C4" s="47" t="s">
        <v>5</v>
      </c>
      <c r="D4" s="49">
        <v>0</v>
      </c>
      <c r="E4" s="47" t="s">
        <v>6</v>
      </c>
      <c r="F4" s="49">
        <v>0.99998842592592596</v>
      </c>
      <c r="G4" s="47">
        <v>3.6</v>
      </c>
      <c r="H4" s="47">
        <v>5.4</v>
      </c>
      <c r="I4" s="47">
        <v>5.8</v>
      </c>
      <c r="J4" s="47">
        <v>-1</v>
      </c>
      <c r="K4" s="47">
        <v>-1</v>
      </c>
      <c r="L4" s="47">
        <v>-1</v>
      </c>
      <c r="M4" s="47">
        <v>7.6</v>
      </c>
      <c r="N4" s="47">
        <v>11.1</v>
      </c>
      <c r="O4" s="47">
        <v>12.2</v>
      </c>
      <c r="P4" s="47">
        <v>3.6</v>
      </c>
      <c r="Q4" s="47">
        <v>5.4</v>
      </c>
      <c r="R4" s="47">
        <v>5.8</v>
      </c>
      <c r="S4" s="47">
        <v>11.1</v>
      </c>
      <c r="T4" s="47">
        <v>12.2</v>
      </c>
      <c r="U4" s="47">
        <v>5.4</v>
      </c>
      <c r="V4" s="47">
        <v>5.8</v>
      </c>
      <c r="W4" s="47">
        <v>5.8</v>
      </c>
      <c r="X4" s="50">
        <v>45055</v>
      </c>
    </row>
    <row r="5" spans="1:24" x14ac:dyDescent="0.35">
      <c r="A5" s="47" t="s">
        <v>8</v>
      </c>
      <c r="B5" s="47">
        <v>20006</v>
      </c>
      <c r="C5" s="47" t="s">
        <v>5</v>
      </c>
      <c r="D5" s="49">
        <v>0</v>
      </c>
      <c r="E5" s="47" t="s">
        <v>6</v>
      </c>
      <c r="F5" s="49">
        <v>0.99998842592592596</v>
      </c>
      <c r="G5" s="47">
        <v>4.9000000000000004</v>
      </c>
      <c r="H5" s="47">
        <v>6.6</v>
      </c>
      <c r="I5" s="47">
        <v>8.1</v>
      </c>
      <c r="J5" s="47">
        <v>-1</v>
      </c>
      <c r="K5" s="47">
        <v>-1</v>
      </c>
      <c r="L5" s="47">
        <v>-1</v>
      </c>
      <c r="M5" s="47">
        <v>10</v>
      </c>
      <c r="N5" s="47">
        <v>13.3</v>
      </c>
      <c r="O5" s="47">
        <v>17</v>
      </c>
      <c r="P5" s="47">
        <v>4.9000000000000004</v>
      </c>
      <c r="Q5" s="47">
        <v>6.6</v>
      </c>
      <c r="R5" s="47">
        <v>8.1</v>
      </c>
      <c r="S5" s="47">
        <v>13.3</v>
      </c>
      <c r="T5" s="47">
        <v>17</v>
      </c>
      <c r="U5" s="47">
        <v>6.6</v>
      </c>
      <c r="V5" s="47">
        <v>8.1</v>
      </c>
      <c r="W5" s="47">
        <v>8.1</v>
      </c>
      <c r="X5" s="50">
        <v>45059</v>
      </c>
    </row>
    <row r="6" spans="1:24" x14ac:dyDescent="0.35">
      <c r="A6" s="47" t="s">
        <v>9</v>
      </c>
      <c r="B6" s="47">
        <v>20008</v>
      </c>
      <c r="C6" s="47" t="s">
        <v>5</v>
      </c>
      <c r="D6" s="49">
        <v>0</v>
      </c>
      <c r="E6" s="47" t="s">
        <v>6</v>
      </c>
      <c r="F6" s="49">
        <v>0.99998842592592596</v>
      </c>
      <c r="G6" s="47">
        <v>6.6</v>
      </c>
      <c r="H6" s="47">
        <v>8.8000000000000007</v>
      </c>
      <c r="I6" s="47">
        <v>11</v>
      </c>
      <c r="J6" s="47">
        <v>-1</v>
      </c>
      <c r="K6" s="47">
        <v>-1</v>
      </c>
      <c r="L6" s="47">
        <v>-1</v>
      </c>
      <c r="M6" s="47">
        <v>13.3</v>
      </c>
      <c r="N6" s="47">
        <v>18</v>
      </c>
      <c r="O6" s="47">
        <v>22.5</v>
      </c>
      <c r="P6" s="47">
        <v>6.6</v>
      </c>
      <c r="Q6" s="47">
        <v>8.8000000000000007</v>
      </c>
      <c r="R6" s="47">
        <v>11</v>
      </c>
      <c r="S6" s="47">
        <v>18</v>
      </c>
      <c r="T6" s="47">
        <v>22.5</v>
      </c>
      <c r="U6" s="47">
        <v>8.8000000000000007</v>
      </c>
      <c r="V6" s="47">
        <v>11</v>
      </c>
      <c r="W6" s="47">
        <v>11</v>
      </c>
      <c r="X6" s="50">
        <v>45076</v>
      </c>
    </row>
    <row r="7" spans="1:24" x14ac:dyDescent="0.35">
      <c r="A7" s="47" t="s">
        <v>10</v>
      </c>
      <c r="B7" s="47">
        <v>20010</v>
      </c>
      <c r="C7" s="47" t="s">
        <v>5</v>
      </c>
      <c r="D7" s="49">
        <v>0</v>
      </c>
      <c r="E7" s="47" t="s">
        <v>6</v>
      </c>
      <c r="F7" s="49">
        <v>0.99998842592592596</v>
      </c>
      <c r="G7" s="47">
        <v>7.1</v>
      </c>
      <c r="H7" s="47">
        <v>10.4</v>
      </c>
      <c r="I7" s="47">
        <v>12.8</v>
      </c>
      <c r="J7" s="47">
        <v>-1</v>
      </c>
      <c r="K7" s="47">
        <v>-1</v>
      </c>
      <c r="L7" s="47">
        <v>-1</v>
      </c>
      <c r="M7" s="47">
        <v>14.4</v>
      </c>
      <c r="N7" s="47">
        <v>21.5</v>
      </c>
      <c r="O7" s="47">
        <v>26.1</v>
      </c>
      <c r="P7" s="47">
        <v>7.1</v>
      </c>
      <c r="Q7" s="47">
        <v>10.4</v>
      </c>
      <c r="R7" s="47">
        <v>12.8</v>
      </c>
      <c r="S7" s="47">
        <v>21.5</v>
      </c>
      <c r="T7" s="47">
        <v>26.1</v>
      </c>
      <c r="U7" s="47">
        <v>10.4</v>
      </c>
      <c r="V7" s="47">
        <v>12.8</v>
      </c>
      <c r="W7" s="47">
        <v>12.8</v>
      </c>
      <c r="X7" s="50">
        <v>45057</v>
      </c>
    </row>
    <row r="8" spans="1:24" x14ac:dyDescent="0.35">
      <c r="A8" s="47" t="s">
        <v>11</v>
      </c>
      <c r="B8" s="47">
        <v>20012</v>
      </c>
      <c r="C8" s="47" t="s">
        <v>5</v>
      </c>
      <c r="D8" s="49">
        <v>0</v>
      </c>
      <c r="E8" s="47" t="s">
        <v>6</v>
      </c>
      <c r="F8" s="49">
        <v>0.99998842592592596</v>
      </c>
      <c r="G8" s="47">
        <v>9.4</v>
      </c>
      <c r="H8" s="47">
        <v>13.8</v>
      </c>
      <c r="I8" s="47">
        <v>16.100000000000001</v>
      </c>
      <c r="J8" s="47">
        <v>-1</v>
      </c>
      <c r="K8" s="47">
        <v>-1</v>
      </c>
      <c r="L8" s="47">
        <v>-1</v>
      </c>
      <c r="M8" s="47">
        <v>19.2</v>
      </c>
      <c r="N8" s="47">
        <v>28.3</v>
      </c>
      <c r="O8" s="47">
        <v>32.799999999999997</v>
      </c>
      <c r="P8" s="47">
        <v>9.4</v>
      </c>
      <c r="Q8" s="47">
        <v>13.8</v>
      </c>
      <c r="R8" s="47">
        <v>16.100000000000001</v>
      </c>
      <c r="S8" s="47">
        <v>28.3</v>
      </c>
      <c r="T8" s="47">
        <v>32.799999999999997</v>
      </c>
      <c r="U8" s="47">
        <v>13.8</v>
      </c>
      <c r="V8" s="47">
        <v>16.100000000000001</v>
      </c>
      <c r="W8" s="47">
        <v>16.100000000000001</v>
      </c>
      <c r="X8" s="50">
        <v>45052</v>
      </c>
    </row>
    <row r="9" spans="1:24" x14ac:dyDescent="0.35">
      <c r="A9" s="47" t="s">
        <v>12</v>
      </c>
      <c r="B9" s="47">
        <v>20014</v>
      </c>
      <c r="C9" s="47" t="s">
        <v>5</v>
      </c>
      <c r="D9" s="49">
        <v>0</v>
      </c>
      <c r="E9" s="47" t="s">
        <v>6</v>
      </c>
      <c r="F9" s="49">
        <v>0.99998842592592596</v>
      </c>
      <c r="G9" s="47">
        <v>11.6</v>
      </c>
      <c r="H9" s="47">
        <v>17.3</v>
      </c>
      <c r="I9" s="47">
        <v>21.3</v>
      </c>
      <c r="J9" s="47">
        <v>-1</v>
      </c>
      <c r="K9" s="47">
        <v>-1</v>
      </c>
      <c r="L9" s="47">
        <v>-1</v>
      </c>
      <c r="M9" s="47">
        <v>23.6</v>
      </c>
      <c r="N9" s="47">
        <v>35.200000000000003</v>
      </c>
      <c r="O9" s="47">
        <v>43</v>
      </c>
      <c r="P9" s="47">
        <v>11.6</v>
      </c>
      <c r="Q9" s="47">
        <v>17.3</v>
      </c>
      <c r="R9" s="47">
        <v>21.3</v>
      </c>
      <c r="S9" s="47">
        <v>35.200000000000003</v>
      </c>
      <c r="T9" s="47">
        <v>43</v>
      </c>
      <c r="U9" s="47">
        <v>17.3</v>
      </c>
      <c r="V9" s="47">
        <v>21.3</v>
      </c>
      <c r="W9" s="47">
        <v>21.3</v>
      </c>
      <c r="X9" s="50">
        <v>45098</v>
      </c>
    </row>
    <row r="10" spans="1:24" x14ac:dyDescent="0.35">
      <c r="A10" s="47" t="s">
        <v>13</v>
      </c>
      <c r="B10" s="47">
        <v>20016</v>
      </c>
      <c r="C10" s="47" t="s">
        <v>5</v>
      </c>
      <c r="D10" s="49">
        <v>0</v>
      </c>
      <c r="E10" s="47" t="s">
        <v>6</v>
      </c>
      <c r="F10" s="49">
        <v>0.99998842592592596</v>
      </c>
      <c r="G10" s="47">
        <v>16.100000000000001</v>
      </c>
      <c r="H10" s="47">
        <v>24.1</v>
      </c>
      <c r="I10" s="47">
        <v>29.1</v>
      </c>
      <c r="J10" s="47">
        <v>-1</v>
      </c>
      <c r="K10" s="47">
        <v>-1</v>
      </c>
      <c r="L10" s="47">
        <v>-1</v>
      </c>
      <c r="M10" s="47">
        <v>32.799999999999997</v>
      </c>
      <c r="N10" s="47">
        <v>49</v>
      </c>
      <c r="O10" s="47">
        <v>59</v>
      </c>
      <c r="P10" s="47">
        <v>16.100000000000001</v>
      </c>
      <c r="Q10" s="47">
        <v>24.1</v>
      </c>
      <c r="R10" s="47">
        <v>29.1</v>
      </c>
      <c r="S10" s="47">
        <v>49</v>
      </c>
      <c r="T10" s="47">
        <v>59</v>
      </c>
      <c r="U10" s="47">
        <v>24.1</v>
      </c>
      <c r="V10" s="47">
        <v>29.1</v>
      </c>
      <c r="W10" s="47">
        <v>29.1</v>
      </c>
      <c r="X10" s="50">
        <v>45092</v>
      </c>
    </row>
    <row r="11" spans="1:24" x14ac:dyDescent="0.35">
      <c r="A11" s="47" t="s">
        <v>14</v>
      </c>
      <c r="B11" s="47">
        <v>20018</v>
      </c>
      <c r="C11" s="47" t="s">
        <v>5</v>
      </c>
      <c r="D11" s="49">
        <v>0</v>
      </c>
      <c r="E11" s="47" t="s">
        <v>6</v>
      </c>
      <c r="F11" s="49">
        <v>0.99998842592592596</v>
      </c>
      <c r="G11" s="47">
        <v>18.399999999999999</v>
      </c>
      <c r="H11" s="47">
        <v>27.5</v>
      </c>
      <c r="I11" s="47">
        <v>33.799999999999997</v>
      </c>
      <c r="J11" s="47">
        <v>-1</v>
      </c>
      <c r="K11" s="47">
        <v>-1</v>
      </c>
      <c r="L11" s="47">
        <v>-1</v>
      </c>
      <c r="M11" s="47">
        <v>37.200000000000003</v>
      </c>
      <c r="N11" s="47">
        <v>55.6</v>
      </c>
      <c r="O11" s="47">
        <v>67.900000000000006</v>
      </c>
      <c r="P11" s="47">
        <v>18.399999999999999</v>
      </c>
      <c r="Q11" s="47">
        <v>27.5</v>
      </c>
      <c r="R11" s="47">
        <v>33.799999999999997</v>
      </c>
      <c r="S11" s="47">
        <v>55.6</v>
      </c>
      <c r="T11" s="47">
        <v>67.900000000000006</v>
      </c>
      <c r="U11" s="47">
        <v>27.5</v>
      </c>
      <c r="V11" s="47">
        <v>33.799999999999997</v>
      </c>
      <c r="W11" s="47">
        <v>33.799999999999997</v>
      </c>
      <c r="X11" s="50">
        <v>45104</v>
      </c>
    </row>
    <row r="12" spans="1:24" x14ac:dyDescent="0.35">
      <c r="A12" s="47" t="s">
        <v>15</v>
      </c>
      <c r="B12" s="47">
        <v>20020</v>
      </c>
      <c r="C12" s="47" t="s">
        <v>5</v>
      </c>
      <c r="D12" s="49">
        <v>0</v>
      </c>
      <c r="E12" s="47" t="s">
        <v>6</v>
      </c>
      <c r="F12" s="49">
        <v>0.99998842592592596</v>
      </c>
      <c r="G12" s="47">
        <v>0</v>
      </c>
      <c r="H12" s="47">
        <v>0</v>
      </c>
      <c r="I12" s="47">
        <v>0</v>
      </c>
      <c r="J12" s="47">
        <v>0</v>
      </c>
      <c r="K12" s="47">
        <v>0</v>
      </c>
      <c r="L12" s="47">
        <v>0</v>
      </c>
      <c r="M12" s="47">
        <v>0</v>
      </c>
      <c r="N12" s="47">
        <v>0</v>
      </c>
      <c r="O12" s="47">
        <v>0</v>
      </c>
      <c r="P12" s="47">
        <v>0</v>
      </c>
      <c r="Q12" s="47">
        <v>0</v>
      </c>
      <c r="R12" s="47">
        <v>0</v>
      </c>
      <c r="S12" s="47">
        <v>0</v>
      </c>
      <c r="T12" s="47">
        <v>0</v>
      </c>
      <c r="U12" s="47">
        <v>0</v>
      </c>
      <c r="V12" s="47">
        <v>0</v>
      </c>
      <c r="W12" s="47">
        <v>0</v>
      </c>
      <c r="X12" s="50">
        <v>45116</v>
      </c>
    </row>
    <row r="13" spans="1:24" x14ac:dyDescent="0.35">
      <c r="A13" s="47" t="s">
        <v>16</v>
      </c>
      <c r="B13" s="47">
        <v>20022</v>
      </c>
      <c r="C13" s="47" t="s">
        <v>5</v>
      </c>
      <c r="D13" s="49">
        <v>0</v>
      </c>
      <c r="E13" s="47" t="s">
        <v>6</v>
      </c>
      <c r="F13" s="49">
        <v>0.99998842592592596</v>
      </c>
      <c r="G13" s="47">
        <v>21.9</v>
      </c>
      <c r="H13" s="47">
        <v>32.1</v>
      </c>
      <c r="I13" s="47">
        <v>40.1</v>
      </c>
      <c r="J13" s="47">
        <v>-1</v>
      </c>
      <c r="K13" s="47">
        <v>-1</v>
      </c>
      <c r="L13" s="47">
        <v>-1</v>
      </c>
      <c r="M13" s="47">
        <v>42.3</v>
      </c>
      <c r="N13" s="47">
        <v>61.5</v>
      </c>
      <c r="O13" s="47">
        <v>76.599999999999994</v>
      </c>
      <c r="P13" s="47">
        <v>21.9</v>
      </c>
      <c r="Q13" s="47">
        <v>32.1</v>
      </c>
      <c r="R13" s="47">
        <v>40.1</v>
      </c>
      <c r="S13" s="47">
        <v>61.5</v>
      </c>
      <c r="T13" s="47">
        <v>76.599999999999994</v>
      </c>
      <c r="U13" s="47">
        <v>32.1</v>
      </c>
      <c r="V13" s="47">
        <v>40.1</v>
      </c>
      <c r="W13" s="47">
        <v>40.1</v>
      </c>
      <c r="X13" s="50">
        <v>45110</v>
      </c>
    </row>
    <row r="14" spans="1:24" x14ac:dyDescent="0.35">
      <c r="A14" s="47" t="s">
        <v>17</v>
      </c>
      <c r="B14" s="47">
        <v>20024</v>
      </c>
      <c r="C14" s="47" t="s">
        <v>5</v>
      </c>
      <c r="D14" s="49">
        <v>0</v>
      </c>
      <c r="E14" s="47" t="s">
        <v>6</v>
      </c>
      <c r="F14" s="49">
        <v>0.99998842592592596</v>
      </c>
      <c r="G14" s="47">
        <v>23.5</v>
      </c>
      <c r="H14" s="47">
        <v>34.700000000000003</v>
      </c>
      <c r="I14" s="47">
        <v>42.7</v>
      </c>
      <c r="J14" s="47">
        <v>-1</v>
      </c>
      <c r="K14" s="47">
        <v>-1</v>
      </c>
      <c r="L14" s="47">
        <v>-1</v>
      </c>
      <c r="M14" s="47">
        <v>47.7</v>
      </c>
      <c r="N14" s="47">
        <v>70.8</v>
      </c>
      <c r="O14" s="47">
        <v>86.6</v>
      </c>
      <c r="P14" s="47">
        <v>23.5</v>
      </c>
      <c r="Q14" s="47">
        <v>34.700000000000003</v>
      </c>
      <c r="R14" s="47">
        <v>42.7</v>
      </c>
      <c r="S14" s="47">
        <v>70.8</v>
      </c>
      <c r="T14" s="47">
        <v>86.6</v>
      </c>
      <c r="U14" s="47">
        <v>34.700000000000003</v>
      </c>
      <c r="V14" s="47">
        <v>42.7</v>
      </c>
      <c r="W14" s="47">
        <v>42.7</v>
      </c>
      <c r="X14" s="50">
        <v>45095</v>
      </c>
    </row>
    <row r="15" spans="1:24" x14ac:dyDescent="0.35">
      <c r="A15" s="47" t="s">
        <v>18</v>
      </c>
      <c r="B15" s="47">
        <v>20026</v>
      </c>
      <c r="C15" s="47" t="s">
        <v>5</v>
      </c>
      <c r="D15" s="49">
        <v>0</v>
      </c>
      <c r="E15" s="47" t="s">
        <v>6</v>
      </c>
      <c r="F15" s="49">
        <v>0.99998842592592596</v>
      </c>
      <c r="G15" s="47">
        <v>26.8</v>
      </c>
      <c r="H15" s="47">
        <v>39.299999999999997</v>
      </c>
      <c r="I15" s="47">
        <v>47.9</v>
      </c>
      <c r="J15" s="47">
        <v>-1</v>
      </c>
      <c r="K15" s="47">
        <v>-1</v>
      </c>
      <c r="L15" s="47">
        <v>-1</v>
      </c>
      <c r="M15" s="47">
        <v>54.6</v>
      </c>
      <c r="N15" s="47">
        <v>79.599999999999994</v>
      </c>
      <c r="O15" s="47">
        <v>96.8</v>
      </c>
      <c r="P15" s="47">
        <v>26.8</v>
      </c>
      <c r="Q15" s="47">
        <v>39.299999999999997</v>
      </c>
      <c r="R15" s="47">
        <v>47.9</v>
      </c>
      <c r="S15" s="47">
        <v>79.599999999999994</v>
      </c>
      <c r="T15" s="47">
        <v>96.8</v>
      </c>
      <c r="U15" s="47">
        <v>39.299999999999997</v>
      </c>
      <c r="V15" s="47">
        <v>47.9</v>
      </c>
      <c r="W15" s="47">
        <v>47.9</v>
      </c>
      <c r="X15" s="50">
        <v>45113</v>
      </c>
    </row>
    <row r="16" spans="1:24" x14ac:dyDescent="0.35">
      <c r="A16" s="47" t="s">
        <v>19</v>
      </c>
      <c r="B16" s="47">
        <v>20028</v>
      </c>
      <c r="C16" s="47" t="s">
        <v>5</v>
      </c>
      <c r="D16" s="49">
        <v>0</v>
      </c>
      <c r="E16" s="47" t="s">
        <v>6</v>
      </c>
      <c r="F16" s="49">
        <v>0.99998842592592596</v>
      </c>
      <c r="G16" s="47">
        <v>28</v>
      </c>
      <c r="H16" s="47">
        <v>41</v>
      </c>
      <c r="I16" s="47">
        <v>50.1</v>
      </c>
      <c r="J16" s="47">
        <v>-1</v>
      </c>
      <c r="K16" s="47">
        <v>-1</v>
      </c>
      <c r="L16" s="47">
        <v>-1</v>
      </c>
      <c r="M16" s="47">
        <v>56.7</v>
      </c>
      <c r="N16" s="47">
        <v>83.2</v>
      </c>
      <c r="O16" s="47">
        <v>101.3</v>
      </c>
      <c r="P16" s="47">
        <v>28</v>
      </c>
      <c r="Q16" s="47">
        <v>41</v>
      </c>
      <c r="R16" s="47">
        <v>50.1</v>
      </c>
      <c r="S16" s="47">
        <v>83.2</v>
      </c>
      <c r="T16" s="47">
        <v>101.3</v>
      </c>
      <c r="U16" s="47">
        <v>41</v>
      </c>
      <c r="V16" s="47">
        <v>50.1</v>
      </c>
      <c r="W16" s="47">
        <v>50.1</v>
      </c>
      <c r="X16" s="50">
        <v>45063</v>
      </c>
    </row>
    <row r="17" spans="1:24" x14ac:dyDescent="0.35">
      <c r="A17" s="47" t="s">
        <v>20</v>
      </c>
      <c r="B17" s="47">
        <v>20030</v>
      </c>
      <c r="C17" s="47" t="s">
        <v>5</v>
      </c>
      <c r="D17" s="49">
        <v>0</v>
      </c>
      <c r="E17" s="47" t="s">
        <v>6</v>
      </c>
      <c r="F17" s="49">
        <v>0.99998842592592596</v>
      </c>
      <c r="G17" s="47">
        <v>28.5</v>
      </c>
      <c r="H17" s="47">
        <v>42.3</v>
      </c>
      <c r="I17" s="47">
        <v>52.3</v>
      </c>
      <c r="J17" s="47">
        <v>-1</v>
      </c>
      <c r="K17" s="47">
        <v>-1</v>
      </c>
      <c r="L17" s="47">
        <v>-1</v>
      </c>
      <c r="M17" s="47">
        <v>58.3</v>
      </c>
      <c r="N17" s="47">
        <v>85.4</v>
      </c>
      <c r="O17" s="47">
        <v>106.1</v>
      </c>
      <c r="P17" s="47">
        <v>28.5</v>
      </c>
      <c r="Q17" s="47">
        <v>42.3</v>
      </c>
      <c r="R17" s="47">
        <v>52.3</v>
      </c>
      <c r="S17" s="47">
        <v>85.4</v>
      </c>
      <c r="T17" s="47">
        <v>106.1</v>
      </c>
      <c r="U17" s="47">
        <v>42.3</v>
      </c>
      <c r="V17" s="47">
        <v>52.3</v>
      </c>
      <c r="W17" s="47">
        <v>52.3</v>
      </c>
      <c r="X17" s="50">
        <v>45071</v>
      </c>
    </row>
    <row r="18" spans="1:24" x14ac:dyDescent="0.35">
      <c r="A18" s="47" t="s">
        <v>21</v>
      </c>
      <c r="B18" s="47">
        <v>20032</v>
      </c>
      <c r="C18" s="47" t="s">
        <v>5</v>
      </c>
      <c r="D18" s="49">
        <v>0</v>
      </c>
      <c r="E18" s="47" t="s">
        <v>6</v>
      </c>
      <c r="F18" s="49">
        <v>0.99998842592592596</v>
      </c>
      <c r="G18" s="47">
        <v>29.1</v>
      </c>
      <c r="H18" s="47">
        <v>43.3</v>
      </c>
      <c r="I18" s="47">
        <v>53.7</v>
      </c>
      <c r="J18" s="47">
        <v>-1</v>
      </c>
      <c r="K18" s="47">
        <v>-1</v>
      </c>
      <c r="L18" s="47">
        <v>-1</v>
      </c>
      <c r="M18" s="47">
        <v>59</v>
      </c>
      <c r="N18" s="47">
        <v>87.6</v>
      </c>
      <c r="O18" s="47">
        <v>108.8</v>
      </c>
      <c r="P18" s="47">
        <v>29.1</v>
      </c>
      <c r="Q18" s="47">
        <v>43.3</v>
      </c>
      <c r="R18" s="47">
        <v>53.7</v>
      </c>
      <c r="S18" s="47">
        <v>87.6</v>
      </c>
      <c r="T18" s="47">
        <v>108.8</v>
      </c>
      <c r="U18" s="47">
        <v>43.3</v>
      </c>
      <c r="V18" s="47">
        <v>53.7</v>
      </c>
      <c r="W18" s="47">
        <v>53.7</v>
      </c>
      <c r="X18" s="50">
        <v>45085</v>
      </c>
    </row>
    <row r="19" spans="1:24" x14ac:dyDescent="0.35">
      <c r="A19" s="47" t="s">
        <v>22</v>
      </c>
      <c r="B19" s="47">
        <v>20034</v>
      </c>
      <c r="C19" s="47" t="s">
        <v>5</v>
      </c>
      <c r="D19" s="49">
        <v>0</v>
      </c>
      <c r="E19" s="47" t="s">
        <v>6</v>
      </c>
      <c r="F19" s="49">
        <v>0.99998842592592596</v>
      </c>
      <c r="G19" s="47">
        <v>30.7</v>
      </c>
      <c r="H19" s="47">
        <v>45.5</v>
      </c>
      <c r="I19" s="47">
        <v>57</v>
      </c>
      <c r="J19" s="47">
        <v>-1</v>
      </c>
      <c r="K19" s="47">
        <v>-1</v>
      </c>
      <c r="L19" s="47">
        <v>-1</v>
      </c>
      <c r="M19" s="47">
        <v>62.5</v>
      </c>
      <c r="N19" s="47">
        <v>92.1</v>
      </c>
      <c r="O19" s="47">
        <v>115.1</v>
      </c>
      <c r="P19" s="47">
        <v>30.7</v>
      </c>
      <c r="Q19" s="47">
        <v>45.5</v>
      </c>
      <c r="R19" s="47">
        <v>57</v>
      </c>
      <c r="S19" s="47">
        <v>92.1</v>
      </c>
      <c r="T19" s="47">
        <v>115.1</v>
      </c>
      <c r="U19" s="47">
        <v>45.5</v>
      </c>
      <c r="V19" s="47">
        <v>57</v>
      </c>
      <c r="W19" s="47">
        <v>57</v>
      </c>
      <c r="X19" s="50">
        <v>45099</v>
      </c>
    </row>
    <row r="20" spans="1:24" x14ac:dyDescent="0.35">
      <c r="A20" s="47" t="s">
        <v>23</v>
      </c>
      <c r="B20" s="47">
        <v>20036</v>
      </c>
      <c r="C20" s="47" t="s">
        <v>5</v>
      </c>
      <c r="D20" s="49">
        <v>0</v>
      </c>
      <c r="E20" s="47" t="s">
        <v>6</v>
      </c>
      <c r="F20" s="49">
        <v>0.99998842592592596</v>
      </c>
      <c r="G20" s="47">
        <v>33.799999999999997</v>
      </c>
      <c r="H20" s="47">
        <v>50.1</v>
      </c>
      <c r="I20" s="47">
        <v>61.4</v>
      </c>
      <c r="J20" s="47">
        <v>-1</v>
      </c>
      <c r="K20" s="47">
        <v>-1</v>
      </c>
      <c r="L20" s="47">
        <v>-1</v>
      </c>
      <c r="M20" s="47">
        <v>67.900000000000006</v>
      </c>
      <c r="N20" s="47">
        <v>101.3</v>
      </c>
      <c r="O20" s="47">
        <v>124.4</v>
      </c>
      <c r="P20" s="47">
        <v>33.799999999999997</v>
      </c>
      <c r="Q20" s="47">
        <v>50.1</v>
      </c>
      <c r="R20" s="47">
        <v>61.4</v>
      </c>
      <c r="S20" s="47">
        <v>101.3</v>
      </c>
      <c r="T20" s="47">
        <v>124.4</v>
      </c>
      <c r="U20" s="47">
        <v>50.1</v>
      </c>
      <c r="V20" s="47">
        <v>61.4</v>
      </c>
      <c r="W20" s="47">
        <v>61.4</v>
      </c>
      <c r="X20" s="50">
        <v>45091</v>
      </c>
    </row>
    <row r="21" spans="1:24" x14ac:dyDescent="0.35">
      <c r="A21" s="47" t="s">
        <v>24</v>
      </c>
      <c r="B21" s="47">
        <v>20038</v>
      </c>
      <c r="C21" s="47" t="s">
        <v>5</v>
      </c>
      <c r="D21" s="49">
        <v>0</v>
      </c>
      <c r="E21" s="47" t="s">
        <v>6</v>
      </c>
      <c r="F21" s="49">
        <v>0.99998842592592596</v>
      </c>
      <c r="G21" s="47">
        <v>34.700000000000003</v>
      </c>
      <c r="H21" s="47">
        <v>52.3</v>
      </c>
      <c r="I21" s="47">
        <v>63.6</v>
      </c>
      <c r="J21" s="47">
        <v>-1</v>
      </c>
      <c r="K21" s="47">
        <v>-1</v>
      </c>
      <c r="L21" s="47">
        <v>-1</v>
      </c>
      <c r="M21" s="47">
        <v>70.8</v>
      </c>
      <c r="N21" s="47">
        <v>106.1</v>
      </c>
      <c r="O21" s="47">
        <v>128.6</v>
      </c>
      <c r="P21" s="47">
        <v>34.700000000000003</v>
      </c>
      <c r="Q21" s="47">
        <v>52.3</v>
      </c>
      <c r="R21" s="47">
        <v>63.6</v>
      </c>
      <c r="S21" s="47">
        <v>106.1</v>
      </c>
      <c r="T21" s="47">
        <v>128.6</v>
      </c>
      <c r="U21" s="47">
        <v>52.3</v>
      </c>
      <c r="V21" s="47">
        <v>63.6</v>
      </c>
      <c r="W21" s="47">
        <v>63.6</v>
      </c>
      <c r="X21" s="50">
        <v>45079</v>
      </c>
    </row>
    <row r="22" spans="1:24" x14ac:dyDescent="0.35">
      <c r="A22" s="47" t="s">
        <v>25</v>
      </c>
      <c r="B22" s="47">
        <v>20040</v>
      </c>
      <c r="C22" s="47" t="s">
        <v>5</v>
      </c>
      <c r="D22" s="49">
        <v>0</v>
      </c>
      <c r="E22" s="47" t="s">
        <v>6</v>
      </c>
      <c r="F22" s="49">
        <v>0.99998842592592596</v>
      </c>
      <c r="G22" s="47">
        <v>36.5</v>
      </c>
      <c r="H22" s="47">
        <v>54.6</v>
      </c>
      <c r="I22" s="47">
        <v>65.900000000000006</v>
      </c>
      <c r="J22" s="47">
        <v>-1</v>
      </c>
      <c r="K22" s="47">
        <v>-1</v>
      </c>
      <c r="L22" s="47">
        <v>-1</v>
      </c>
      <c r="M22" s="47">
        <v>73.900000000000006</v>
      </c>
      <c r="N22" s="47">
        <v>110.3</v>
      </c>
      <c r="O22" s="47">
        <v>133.4</v>
      </c>
      <c r="P22" s="47">
        <v>36.5</v>
      </c>
      <c r="Q22" s="47">
        <v>54.6</v>
      </c>
      <c r="R22" s="47">
        <v>65.900000000000006</v>
      </c>
      <c r="S22" s="47">
        <v>110.3</v>
      </c>
      <c r="T22" s="47">
        <v>133.4</v>
      </c>
      <c r="U22" s="47">
        <v>54.6</v>
      </c>
      <c r="V22" s="47">
        <v>65.900000000000006</v>
      </c>
      <c r="W22" s="47">
        <v>65.900000000000006</v>
      </c>
      <c r="X22" s="50">
        <v>45075</v>
      </c>
    </row>
    <row r="23" spans="1:24" x14ac:dyDescent="0.35">
      <c r="A23" s="47" t="s">
        <v>41</v>
      </c>
      <c r="B23" s="47">
        <v>20042</v>
      </c>
      <c r="C23" s="47" t="s">
        <v>5</v>
      </c>
      <c r="D23" s="49">
        <v>0</v>
      </c>
      <c r="E23" s="47" t="s">
        <v>6</v>
      </c>
      <c r="F23" s="49">
        <v>0.99998842592592596</v>
      </c>
      <c r="G23" s="47">
        <v>38</v>
      </c>
      <c r="H23" s="47">
        <v>57.2</v>
      </c>
      <c r="I23" s="47">
        <v>68.7</v>
      </c>
      <c r="J23" s="47">
        <v>-1</v>
      </c>
      <c r="K23" s="47">
        <v>-1</v>
      </c>
      <c r="L23" s="47">
        <v>-1</v>
      </c>
      <c r="M23" s="47">
        <v>76.599999999999994</v>
      </c>
      <c r="N23" s="47">
        <v>115.5</v>
      </c>
      <c r="O23" s="47">
        <v>138.80000000000001</v>
      </c>
      <c r="P23" s="47">
        <v>38</v>
      </c>
      <c r="Q23" s="47">
        <v>57.2</v>
      </c>
      <c r="R23" s="47">
        <v>68.7</v>
      </c>
      <c r="S23" s="47">
        <v>115.5</v>
      </c>
      <c r="T23" s="47">
        <v>138.80000000000001</v>
      </c>
      <c r="U23" s="47">
        <v>57.2</v>
      </c>
      <c r="V23" s="47">
        <v>68.7</v>
      </c>
      <c r="W23" s="47">
        <v>68.7</v>
      </c>
      <c r="X23" s="50">
        <v>45110</v>
      </c>
    </row>
    <row r="24" spans="1:24" x14ac:dyDescent="0.35">
      <c r="A24" s="47" t="s">
        <v>26</v>
      </c>
      <c r="B24" s="47">
        <v>20044</v>
      </c>
      <c r="C24" s="47" t="s">
        <v>5</v>
      </c>
      <c r="D24" s="49">
        <v>0</v>
      </c>
      <c r="E24" s="47" t="s">
        <v>6</v>
      </c>
      <c r="F24" s="49">
        <v>0.99998842592592596</v>
      </c>
      <c r="G24" s="47">
        <v>38.700000000000003</v>
      </c>
      <c r="H24" s="47">
        <v>59.2</v>
      </c>
      <c r="I24" s="47">
        <v>70.400000000000006</v>
      </c>
      <c r="J24" s="47">
        <v>-1</v>
      </c>
      <c r="K24" s="47">
        <v>-1</v>
      </c>
      <c r="L24" s="47">
        <v>-1</v>
      </c>
      <c r="M24" s="47">
        <v>78.599999999999994</v>
      </c>
      <c r="N24" s="47">
        <v>119.4</v>
      </c>
      <c r="O24" s="47">
        <v>142.5</v>
      </c>
      <c r="P24" s="47">
        <v>38.700000000000003</v>
      </c>
      <c r="Q24" s="47">
        <v>59.2</v>
      </c>
      <c r="R24" s="47">
        <v>70.400000000000006</v>
      </c>
      <c r="S24" s="47">
        <v>119.4</v>
      </c>
      <c r="T24" s="47">
        <v>142.5</v>
      </c>
      <c r="U24" s="47">
        <v>59.2</v>
      </c>
      <c r="V24" s="47">
        <v>70.400000000000006</v>
      </c>
      <c r="W24" s="47">
        <v>70.400000000000006</v>
      </c>
      <c r="X24" s="50">
        <v>45114</v>
      </c>
    </row>
    <row r="25" spans="1:24" x14ac:dyDescent="0.35">
      <c r="A25" s="47" t="s">
        <v>27</v>
      </c>
      <c r="B25" s="47">
        <v>20046</v>
      </c>
      <c r="C25" s="47" t="s">
        <v>5</v>
      </c>
      <c r="D25" s="49">
        <v>0</v>
      </c>
      <c r="E25" s="47" t="s">
        <v>6</v>
      </c>
      <c r="F25" s="49">
        <v>0.99998842592592596</v>
      </c>
      <c r="G25" s="47">
        <v>40.1</v>
      </c>
      <c r="H25" s="47">
        <v>59.2</v>
      </c>
      <c r="I25" s="47">
        <v>72.8</v>
      </c>
      <c r="J25" s="47">
        <v>-1</v>
      </c>
      <c r="K25" s="47">
        <v>-1</v>
      </c>
      <c r="L25" s="47">
        <v>-1</v>
      </c>
      <c r="M25" s="47">
        <v>80.8</v>
      </c>
      <c r="N25" s="47">
        <v>119.4</v>
      </c>
      <c r="O25" s="47">
        <v>146.80000000000001</v>
      </c>
      <c r="P25" s="47">
        <v>40.1</v>
      </c>
      <c r="Q25" s="47">
        <v>59.2</v>
      </c>
      <c r="R25" s="47">
        <v>72.8</v>
      </c>
      <c r="S25" s="47">
        <v>119.4</v>
      </c>
      <c r="T25" s="47">
        <v>146.80000000000001</v>
      </c>
      <c r="U25" s="47">
        <v>59.2</v>
      </c>
      <c r="V25" s="47">
        <v>72.8</v>
      </c>
      <c r="W25" s="47">
        <v>72.8</v>
      </c>
      <c r="X25" s="50">
        <v>45118</v>
      </c>
    </row>
    <row r="26" spans="1:24" x14ac:dyDescent="0.35">
      <c r="A26" s="47" t="s">
        <v>28</v>
      </c>
      <c r="B26" s="47">
        <v>20048</v>
      </c>
      <c r="C26" s="47" t="s">
        <v>5</v>
      </c>
      <c r="D26" s="49">
        <v>0</v>
      </c>
      <c r="E26" s="47" t="s">
        <v>6</v>
      </c>
      <c r="F26" s="49">
        <v>0.99998842592592596</v>
      </c>
      <c r="G26" s="47">
        <v>0</v>
      </c>
      <c r="H26" s="47">
        <v>0</v>
      </c>
      <c r="I26" s="47">
        <v>0</v>
      </c>
      <c r="J26" s="47">
        <v>0</v>
      </c>
      <c r="K26" s="47">
        <v>0</v>
      </c>
      <c r="L26" s="47">
        <v>0</v>
      </c>
      <c r="M26" s="47">
        <v>0</v>
      </c>
      <c r="N26" s="47">
        <v>0</v>
      </c>
      <c r="O26" s="47">
        <v>0</v>
      </c>
      <c r="P26" s="47">
        <v>0</v>
      </c>
      <c r="Q26" s="47">
        <v>0</v>
      </c>
      <c r="R26" s="47">
        <v>0</v>
      </c>
      <c r="S26" s="47">
        <v>0</v>
      </c>
      <c r="T26" s="47">
        <v>0</v>
      </c>
      <c r="U26" s="47">
        <v>0</v>
      </c>
      <c r="V26" s="47">
        <v>0</v>
      </c>
      <c r="W26" s="47">
        <v>0</v>
      </c>
      <c r="X26" s="50">
        <v>45142</v>
      </c>
    </row>
    <row r="27" spans="1:24" x14ac:dyDescent="0.35">
      <c r="A27" s="47" t="s">
        <v>57</v>
      </c>
      <c r="B27" s="47">
        <v>20050</v>
      </c>
      <c r="C27" s="47" t="s">
        <v>5</v>
      </c>
      <c r="D27" s="49">
        <v>0</v>
      </c>
      <c r="E27" s="47" t="s">
        <v>6</v>
      </c>
      <c r="F27" s="49">
        <v>0.99998842592592596</v>
      </c>
      <c r="G27" s="47">
        <v>41.3</v>
      </c>
      <c r="H27" s="47">
        <v>61.4</v>
      </c>
      <c r="I27" s="47">
        <v>75</v>
      </c>
      <c r="J27" s="47">
        <v>-1</v>
      </c>
      <c r="K27" s="47">
        <v>-1</v>
      </c>
      <c r="L27" s="47">
        <v>-1</v>
      </c>
      <c r="M27" s="47">
        <v>83.5</v>
      </c>
      <c r="N27" s="47">
        <v>124.4</v>
      </c>
      <c r="O27" s="47">
        <v>151.5</v>
      </c>
      <c r="P27" s="47">
        <v>41.3</v>
      </c>
      <c r="Q27" s="47">
        <v>61.4</v>
      </c>
      <c r="R27" s="47">
        <v>75</v>
      </c>
      <c r="S27" s="47">
        <v>124.4</v>
      </c>
      <c r="T27" s="47">
        <v>151.5</v>
      </c>
      <c r="U27" s="47">
        <v>61.4</v>
      </c>
      <c r="V27" s="47">
        <v>75</v>
      </c>
      <c r="W27" s="47">
        <v>75</v>
      </c>
      <c r="X27" s="50">
        <v>45146</v>
      </c>
    </row>
    <row r="28" spans="1:24" x14ac:dyDescent="0.35">
      <c r="A28" s="47" t="s">
        <v>29</v>
      </c>
      <c r="B28" s="47">
        <v>20052</v>
      </c>
      <c r="C28" s="47" t="s">
        <v>5</v>
      </c>
      <c r="D28" s="49">
        <v>0</v>
      </c>
      <c r="E28" s="47" t="s">
        <v>6</v>
      </c>
      <c r="F28" s="49">
        <v>0.99998842592592596</v>
      </c>
      <c r="G28" s="47">
        <v>42.3</v>
      </c>
      <c r="H28" s="47">
        <v>61.4</v>
      </c>
      <c r="I28" s="47">
        <v>75</v>
      </c>
      <c r="J28" s="47">
        <v>-1</v>
      </c>
      <c r="K28" s="47">
        <v>-1</v>
      </c>
      <c r="L28" s="47">
        <v>-1</v>
      </c>
      <c r="M28" s="47">
        <v>85.4</v>
      </c>
      <c r="N28" s="47">
        <v>124.4</v>
      </c>
      <c r="O28" s="47">
        <v>151.5</v>
      </c>
      <c r="P28" s="47">
        <v>42.3</v>
      </c>
      <c r="Q28" s="47">
        <v>61.4</v>
      </c>
      <c r="R28" s="47">
        <v>75</v>
      </c>
      <c r="S28" s="47">
        <v>124.4</v>
      </c>
      <c r="T28" s="47">
        <v>151.5</v>
      </c>
      <c r="U28" s="47">
        <v>61.4</v>
      </c>
      <c r="V28" s="47">
        <v>75</v>
      </c>
      <c r="W28" s="47">
        <v>75</v>
      </c>
      <c r="X28" s="50">
        <v>45108</v>
      </c>
    </row>
    <row r="29" spans="1:24" x14ac:dyDescent="0.35">
      <c r="A29" s="47" t="s">
        <v>30</v>
      </c>
      <c r="B29" s="47">
        <v>20054</v>
      </c>
      <c r="C29" s="47" t="s">
        <v>5</v>
      </c>
      <c r="D29" s="49">
        <v>0</v>
      </c>
      <c r="E29" s="47" t="s">
        <v>6</v>
      </c>
      <c r="F29" s="49">
        <v>0.99998842592592596</v>
      </c>
      <c r="G29" s="47">
        <v>43.3</v>
      </c>
      <c r="H29" s="47">
        <v>63.6</v>
      </c>
      <c r="I29" s="47">
        <v>77.2</v>
      </c>
      <c r="J29" s="47">
        <v>-1</v>
      </c>
      <c r="K29" s="47">
        <v>-1</v>
      </c>
      <c r="L29" s="47">
        <v>-1</v>
      </c>
      <c r="M29" s="47">
        <v>87.6</v>
      </c>
      <c r="N29" s="47">
        <v>128.6</v>
      </c>
      <c r="O29" s="47">
        <v>156.4</v>
      </c>
      <c r="P29" s="47">
        <v>43.3</v>
      </c>
      <c r="Q29" s="47">
        <v>63.6</v>
      </c>
      <c r="R29" s="47">
        <v>77.2</v>
      </c>
      <c r="S29" s="47">
        <v>128.6</v>
      </c>
      <c r="T29" s="47">
        <v>156.4</v>
      </c>
      <c r="U29" s="47">
        <v>63.6</v>
      </c>
      <c r="V29" s="47">
        <v>77.2</v>
      </c>
      <c r="W29" s="47">
        <v>77.2</v>
      </c>
      <c r="X29" s="50">
        <v>45153</v>
      </c>
    </row>
    <row r="30" spans="1:24" x14ac:dyDescent="0.35">
      <c r="A30" s="47" t="s">
        <v>58</v>
      </c>
      <c r="B30" s="47">
        <v>20058</v>
      </c>
      <c r="C30" s="47" t="s">
        <v>5</v>
      </c>
      <c r="D30" s="49">
        <v>0</v>
      </c>
      <c r="E30" s="47" t="s">
        <v>6</v>
      </c>
      <c r="F30" s="49">
        <v>0.99998842592592596</v>
      </c>
      <c r="G30" s="47">
        <v>-1</v>
      </c>
      <c r="H30" s="47">
        <v>-1</v>
      </c>
      <c r="I30" s="47">
        <v>-1</v>
      </c>
      <c r="J30" s="47">
        <v>-1</v>
      </c>
      <c r="K30" s="47">
        <v>-1</v>
      </c>
      <c r="L30" s="47">
        <v>-1</v>
      </c>
      <c r="M30" s="47">
        <v>-1</v>
      </c>
      <c r="N30" s="47">
        <v>-1</v>
      </c>
      <c r="O30" s="47">
        <v>-1</v>
      </c>
      <c r="P30" s="47">
        <v>-1</v>
      </c>
      <c r="Q30" s="47">
        <v>-1</v>
      </c>
      <c r="R30" s="47">
        <v>-1</v>
      </c>
      <c r="S30" s="47">
        <v>-1</v>
      </c>
      <c r="T30" s="47">
        <v>-1</v>
      </c>
      <c r="U30" s="47">
        <v>-1</v>
      </c>
      <c r="V30" s="47">
        <v>-1</v>
      </c>
      <c r="W30" s="47">
        <v>-1</v>
      </c>
      <c r="X30" s="50">
        <v>45150</v>
      </c>
    </row>
    <row r="31" spans="1:24" x14ac:dyDescent="0.35">
      <c r="A31" s="47" t="s">
        <v>31</v>
      </c>
      <c r="B31" s="47">
        <v>20060</v>
      </c>
      <c r="C31" s="47" t="s">
        <v>5</v>
      </c>
      <c r="D31" s="49">
        <v>0</v>
      </c>
      <c r="E31" s="47" t="s">
        <v>6</v>
      </c>
      <c r="F31" s="49">
        <v>0.99998842592592596</v>
      </c>
      <c r="G31" s="47">
        <v>45</v>
      </c>
      <c r="H31" s="47">
        <v>65.900000000000006</v>
      </c>
      <c r="I31" s="47">
        <v>79.400000000000006</v>
      </c>
      <c r="J31" s="47">
        <v>-1</v>
      </c>
      <c r="K31" s="47">
        <v>-1</v>
      </c>
      <c r="L31" s="47">
        <v>-1</v>
      </c>
      <c r="M31" s="47">
        <v>90.9</v>
      </c>
      <c r="N31" s="47">
        <v>133.4</v>
      </c>
      <c r="O31" s="47">
        <v>160.9</v>
      </c>
      <c r="P31" s="47">
        <v>45</v>
      </c>
      <c r="Q31" s="47">
        <v>65.900000000000006</v>
      </c>
      <c r="R31" s="47">
        <v>79.400000000000006</v>
      </c>
      <c r="S31" s="47">
        <v>133.4</v>
      </c>
      <c r="T31" s="47">
        <v>160.9</v>
      </c>
      <c r="U31" s="47">
        <v>65.900000000000006</v>
      </c>
      <c r="V31" s="47">
        <v>79.400000000000006</v>
      </c>
      <c r="W31" s="47">
        <v>79.400000000000006</v>
      </c>
      <c r="X31" s="50">
        <v>45157</v>
      </c>
    </row>
    <row r="32" spans="1:24" x14ac:dyDescent="0.35">
      <c r="A32" s="47" t="s">
        <v>32</v>
      </c>
      <c r="B32" s="47">
        <v>21000</v>
      </c>
      <c r="C32" s="47" t="s">
        <v>5</v>
      </c>
      <c r="D32" s="49">
        <v>0</v>
      </c>
      <c r="E32" s="47" t="s">
        <v>6</v>
      </c>
      <c r="F32" s="49">
        <v>0.99998842592592596</v>
      </c>
      <c r="G32" s="47">
        <v>-1</v>
      </c>
      <c r="H32" s="47">
        <v>-1</v>
      </c>
      <c r="I32" s="47">
        <v>-1</v>
      </c>
      <c r="J32" s="47">
        <v>-1</v>
      </c>
      <c r="K32" s="47">
        <v>-1</v>
      </c>
      <c r="L32" s="47">
        <v>-1</v>
      </c>
      <c r="M32" s="47">
        <v>-1</v>
      </c>
      <c r="N32" s="47">
        <v>-1</v>
      </c>
      <c r="O32" s="47">
        <v>-1</v>
      </c>
      <c r="P32" s="47">
        <v>-1</v>
      </c>
      <c r="Q32" s="47">
        <v>-1</v>
      </c>
      <c r="R32" s="47">
        <v>-1</v>
      </c>
      <c r="S32" s="47">
        <v>-1</v>
      </c>
      <c r="T32" s="47">
        <v>-1</v>
      </c>
      <c r="U32" s="47">
        <v>-1</v>
      </c>
      <c r="V32" s="47">
        <v>-1</v>
      </c>
      <c r="W32" s="47">
        <v>-1</v>
      </c>
      <c r="X32" s="50">
        <v>45143</v>
      </c>
    </row>
    <row r="33" spans="1:24" x14ac:dyDescent="0.35">
      <c r="A33" s="47" t="s">
        <v>33</v>
      </c>
      <c r="B33" s="47">
        <v>21002</v>
      </c>
      <c r="C33" s="47" t="s">
        <v>5</v>
      </c>
      <c r="D33" s="49">
        <v>0</v>
      </c>
      <c r="E33" s="47" t="s">
        <v>6</v>
      </c>
      <c r="F33" s="49">
        <v>0.99998842592592596</v>
      </c>
      <c r="G33" s="47">
        <v>41.5</v>
      </c>
      <c r="H33" s="47">
        <v>61.4</v>
      </c>
      <c r="I33" s="47">
        <v>75</v>
      </c>
      <c r="J33" s="47">
        <v>-1</v>
      </c>
      <c r="K33" s="47">
        <v>-1</v>
      </c>
      <c r="L33" s="47">
        <v>-1</v>
      </c>
      <c r="M33" s="47">
        <v>84.6</v>
      </c>
      <c r="N33" s="47">
        <v>124.4</v>
      </c>
      <c r="O33" s="47">
        <v>151.5</v>
      </c>
      <c r="P33" s="47">
        <v>41.5</v>
      </c>
      <c r="Q33" s="47">
        <v>61.4</v>
      </c>
      <c r="R33" s="47">
        <v>75</v>
      </c>
      <c r="S33" s="47">
        <v>124.4</v>
      </c>
      <c r="T33" s="47">
        <v>151.5</v>
      </c>
      <c r="U33" s="47">
        <v>61.4</v>
      </c>
      <c r="V33" s="47">
        <v>75</v>
      </c>
      <c r="W33" s="47">
        <v>75</v>
      </c>
      <c r="X33" s="50">
        <v>45166</v>
      </c>
    </row>
    <row r="34" spans="1:24" x14ac:dyDescent="0.35">
      <c r="A34" s="47" t="s">
        <v>34</v>
      </c>
      <c r="B34" s="47">
        <v>21004</v>
      </c>
      <c r="C34" s="47" t="s">
        <v>5</v>
      </c>
      <c r="D34" s="49">
        <v>0</v>
      </c>
      <c r="E34" s="47" t="s">
        <v>6</v>
      </c>
      <c r="F34" s="49">
        <v>0.99998842592592596</v>
      </c>
      <c r="G34" s="47">
        <v>43.3</v>
      </c>
      <c r="H34" s="47">
        <v>63.6</v>
      </c>
      <c r="I34" s="47">
        <v>79.400000000000006</v>
      </c>
      <c r="J34" s="47">
        <v>-1</v>
      </c>
      <c r="K34" s="47">
        <v>-1</v>
      </c>
      <c r="L34" s="47">
        <v>-1</v>
      </c>
      <c r="M34" s="47">
        <v>87.6</v>
      </c>
      <c r="N34" s="47">
        <v>128.6</v>
      </c>
      <c r="O34" s="47">
        <v>160.9</v>
      </c>
      <c r="P34" s="47">
        <v>43.3</v>
      </c>
      <c r="Q34" s="47">
        <v>63.6</v>
      </c>
      <c r="R34" s="47">
        <v>79.400000000000006</v>
      </c>
      <c r="S34" s="47">
        <v>128.6</v>
      </c>
      <c r="T34" s="47">
        <v>160.9</v>
      </c>
      <c r="U34" s="47">
        <v>63.6</v>
      </c>
      <c r="V34" s="47">
        <v>79.400000000000006</v>
      </c>
      <c r="W34" s="47">
        <v>79.400000000000006</v>
      </c>
      <c r="X34" s="50">
        <v>45162</v>
      </c>
    </row>
    <row r="35" spans="1:24" x14ac:dyDescent="0.35">
      <c r="A35" s="47" t="s">
        <v>35</v>
      </c>
      <c r="B35" s="47">
        <v>21006</v>
      </c>
      <c r="C35" s="47" t="s">
        <v>5</v>
      </c>
      <c r="D35" s="49">
        <v>0</v>
      </c>
      <c r="E35" s="47" t="s">
        <v>6</v>
      </c>
      <c r="F35" s="49">
        <v>0.99998842592592596</v>
      </c>
      <c r="G35" s="47">
        <v>44.5</v>
      </c>
      <c r="H35" s="47">
        <v>65.900000000000006</v>
      </c>
      <c r="I35" s="47">
        <v>81.8</v>
      </c>
      <c r="J35" s="47">
        <v>-1</v>
      </c>
      <c r="K35" s="47">
        <v>-1</v>
      </c>
      <c r="L35" s="47">
        <v>-1</v>
      </c>
      <c r="M35" s="47">
        <v>89.9</v>
      </c>
      <c r="N35" s="47">
        <v>133.4</v>
      </c>
      <c r="O35" s="47">
        <v>165.3</v>
      </c>
      <c r="P35" s="47">
        <v>44.5</v>
      </c>
      <c r="Q35" s="47">
        <v>65.900000000000006</v>
      </c>
      <c r="R35" s="47">
        <v>81.8</v>
      </c>
      <c r="S35" s="47">
        <v>133.4</v>
      </c>
      <c r="T35" s="47">
        <v>165.3</v>
      </c>
      <c r="U35" s="47">
        <v>65.900000000000006</v>
      </c>
      <c r="V35" s="47">
        <v>81.8</v>
      </c>
      <c r="W35" s="47">
        <v>81.8</v>
      </c>
      <c r="X35" s="50">
        <v>45160</v>
      </c>
    </row>
    <row r="36" spans="1:24" x14ac:dyDescent="0.35">
      <c r="A36" s="47" t="s">
        <v>36</v>
      </c>
      <c r="B36" s="47">
        <v>21008</v>
      </c>
      <c r="C36" s="47" t="s">
        <v>5</v>
      </c>
      <c r="D36" s="49">
        <v>0</v>
      </c>
      <c r="E36" s="47" t="s">
        <v>6</v>
      </c>
      <c r="F36" s="49">
        <v>0.99998842592592596</v>
      </c>
      <c r="G36" s="47">
        <v>47.3</v>
      </c>
      <c r="H36" s="47">
        <v>70.400000000000006</v>
      </c>
      <c r="I36" s="47">
        <v>86.4</v>
      </c>
      <c r="J36" s="47">
        <v>-1</v>
      </c>
      <c r="K36" s="47">
        <v>-1</v>
      </c>
      <c r="L36" s="47">
        <v>-1</v>
      </c>
      <c r="M36" s="47">
        <v>95.6</v>
      </c>
      <c r="N36" s="47">
        <v>142.5</v>
      </c>
      <c r="O36" s="47">
        <v>174.2</v>
      </c>
      <c r="P36" s="47">
        <v>47.3</v>
      </c>
      <c r="Q36" s="47">
        <v>70.400000000000006</v>
      </c>
      <c r="R36" s="47">
        <v>86.4</v>
      </c>
      <c r="S36" s="47">
        <v>142.5</v>
      </c>
      <c r="T36" s="47">
        <v>174.2</v>
      </c>
      <c r="U36" s="47">
        <v>70.400000000000006</v>
      </c>
      <c r="V36" s="47">
        <v>86.4</v>
      </c>
      <c r="W36" s="47">
        <v>86.4</v>
      </c>
      <c r="X36" s="50">
        <v>45179</v>
      </c>
    </row>
    <row r="37" spans="1:24" x14ac:dyDescent="0.35">
      <c r="A37" s="47" t="s">
        <v>42</v>
      </c>
      <c r="B37" s="47">
        <v>21010</v>
      </c>
      <c r="C37" s="47" t="s">
        <v>5</v>
      </c>
      <c r="D37" s="49">
        <v>0</v>
      </c>
      <c r="E37" s="47" t="s">
        <v>6</v>
      </c>
      <c r="F37" s="49">
        <v>0.99998842592592596</v>
      </c>
      <c r="G37" s="47">
        <v>48.3</v>
      </c>
      <c r="H37" s="47">
        <v>72</v>
      </c>
      <c r="I37" s="47">
        <v>89</v>
      </c>
      <c r="J37" s="47">
        <v>-1</v>
      </c>
      <c r="K37" s="47">
        <v>-1</v>
      </c>
      <c r="L37" s="47">
        <v>-1</v>
      </c>
      <c r="M37" s="47">
        <v>97.9</v>
      </c>
      <c r="N37" s="47">
        <v>145.5</v>
      </c>
      <c r="O37" s="47">
        <v>179.8</v>
      </c>
      <c r="P37" s="47">
        <v>48.3</v>
      </c>
      <c r="Q37" s="47">
        <v>72</v>
      </c>
      <c r="R37" s="47">
        <v>89</v>
      </c>
      <c r="S37" s="47">
        <v>145.5</v>
      </c>
      <c r="T37" s="47">
        <v>179.8</v>
      </c>
      <c r="U37" s="47">
        <v>72</v>
      </c>
      <c r="V37" s="47">
        <v>89</v>
      </c>
      <c r="W37" s="47">
        <v>89</v>
      </c>
      <c r="X37" s="50">
        <v>45157</v>
      </c>
    </row>
    <row r="38" spans="1:24" x14ac:dyDescent="0.35">
      <c r="A38" s="47" t="s">
        <v>37</v>
      </c>
      <c r="B38" s="47">
        <v>21012</v>
      </c>
      <c r="C38" s="47" t="s">
        <v>5</v>
      </c>
      <c r="D38" s="49">
        <v>0</v>
      </c>
      <c r="E38" s="47" t="s">
        <v>6</v>
      </c>
      <c r="F38" s="49">
        <v>0.99998842592592596</v>
      </c>
      <c r="G38" s="47">
        <v>49.1</v>
      </c>
      <c r="H38" s="47">
        <v>72.8</v>
      </c>
      <c r="I38" s="47">
        <v>90.9</v>
      </c>
      <c r="J38" s="47">
        <v>-1</v>
      </c>
      <c r="K38" s="47">
        <v>-1</v>
      </c>
      <c r="L38" s="47">
        <v>-1</v>
      </c>
      <c r="M38" s="47">
        <v>99.5</v>
      </c>
      <c r="N38" s="47">
        <v>146.80000000000001</v>
      </c>
      <c r="O38" s="47">
        <v>183.5</v>
      </c>
      <c r="P38" s="47">
        <v>49.1</v>
      </c>
      <c r="Q38" s="47">
        <v>72.8</v>
      </c>
      <c r="R38" s="47">
        <v>90.9</v>
      </c>
      <c r="S38" s="47">
        <v>146.80000000000001</v>
      </c>
      <c r="T38" s="47">
        <v>183.5</v>
      </c>
      <c r="U38" s="47">
        <v>72.8</v>
      </c>
      <c r="V38" s="47">
        <v>90.9</v>
      </c>
      <c r="W38" s="47">
        <v>90.9</v>
      </c>
      <c r="X38" s="50">
        <v>45143</v>
      </c>
    </row>
    <row r="39" spans="1:24" x14ac:dyDescent="0.35">
      <c r="A39" s="47" t="s">
        <v>38</v>
      </c>
      <c r="B39" s="47">
        <v>21014</v>
      </c>
      <c r="C39" s="47" t="s">
        <v>5</v>
      </c>
      <c r="D39" s="49">
        <v>0</v>
      </c>
      <c r="E39" s="47" t="s">
        <v>6</v>
      </c>
      <c r="F39" s="49">
        <v>0.99998842592592596</v>
      </c>
      <c r="G39" s="47">
        <v>50.6</v>
      </c>
      <c r="H39" s="47">
        <v>75</v>
      </c>
      <c r="I39" s="47">
        <v>93.1</v>
      </c>
      <c r="J39" s="47">
        <v>-1</v>
      </c>
      <c r="K39" s="47">
        <v>-1</v>
      </c>
      <c r="L39" s="47">
        <v>-1</v>
      </c>
      <c r="M39" s="47">
        <v>102.6</v>
      </c>
      <c r="N39" s="47">
        <v>151.5</v>
      </c>
      <c r="O39" s="47">
        <v>188.1</v>
      </c>
      <c r="P39" s="47">
        <v>50.6</v>
      </c>
      <c r="Q39" s="47">
        <v>75</v>
      </c>
      <c r="R39" s="47">
        <v>93.1</v>
      </c>
      <c r="S39" s="47">
        <v>151.5</v>
      </c>
      <c r="T39" s="47">
        <v>188.1</v>
      </c>
      <c r="U39" s="47">
        <v>75</v>
      </c>
      <c r="V39" s="47">
        <v>93.1</v>
      </c>
      <c r="W39" s="47">
        <v>93.1</v>
      </c>
      <c r="X39" s="50">
        <v>45166</v>
      </c>
    </row>
    <row r="40" spans="1:24" x14ac:dyDescent="0.35">
      <c r="A40" s="47" t="s">
        <v>39</v>
      </c>
      <c r="B40" s="47">
        <v>21016</v>
      </c>
      <c r="C40" s="47" t="s">
        <v>5</v>
      </c>
      <c r="D40" s="49">
        <v>0</v>
      </c>
      <c r="E40" s="47" t="s">
        <v>6</v>
      </c>
      <c r="F40" s="49">
        <v>0.99998842592592596</v>
      </c>
      <c r="G40" s="47">
        <v>51.8</v>
      </c>
      <c r="H40" s="47">
        <v>77.2</v>
      </c>
      <c r="I40" s="47">
        <v>93.1</v>
      </c>
      <c r="J40" s="47">
        <v>-1</v>
      </c>
      <c r="K40" s="47">
        <v>-1</v>
      </c>
      <c r="L40" s="47">
        <v>-1</v>
      </c>
      <c r="M40" s="47">
        <v>104.5</v>
      </c>
      <c r="N40" s="47">
        <v>156.4</v>
      </c>
      <c r="O40" s="47">
        <v>188.1</v>
      </c>
      <c r="P40" s="47">
        <v>51.8</v>
      </c>
      <c r="Q40" s="47">
        <v>77.2</v>
      </c>
      <c r="R40" s="47">
        <v>93.1</v>
      </c>
      <c r="S40" s="47">
        <v>156.4</v>
      </c>
      <c r="T40" s="47">
        <v>188.1</v>
      </c>
      <c r="U40" s="47">
        <v>77.2</v>
      </c>
      <c r="V40" s="47">
        <v>93.1</v>
      </c>
      <c r="W40" s="47">
        <v>93.1</v>
      </c>
      <c r="X40" s="50">
        <v>45162</v>
      </c>
    </row>
  </sheetData>
  <conditionalFormatting sqref="A1:A1048576">
    <cfRule type="duplicateValues" dxfId="27" priority="14"/>
  </conditionalFormatting>
  <conditionalFormatting sqref="B1:B1048576">
    <cfRule type="duplicateValues" dxfId="26" priority="13"/>
  </conditionalFormatting>
  <conditionalFormatting sqref="A1:X40">
    <cfRule type="containsText" dxfId="5" priority="10" operator="containsText" text="0">
      <formula>NOT(ISERROR(SEARCH("0",A1)))</formula>
    </cfRule>
    <cfRule type="cellIs" dxfId="4" priority="8" operator="equal">
      <formula>0</formula>
    </cfRule>
    <cfRule type="containsText" dxfId="3" priority="6" operator="containsText" text="0">
      <formula>NOT(ISERROR(SEARCH("0",A1)))</formula>
    </cfRule>
    <cfRule type="containsText" dxfId="2" priority="5" operator="containsText" text="0">
      <formula>NOT(ISERROR(SEARCH("0",A1)))</formula>
    </cfRule>
    <cfRule type="containsText" dxfId="1" priority="4" operator="containsText" text="0">
      <formula>NOT(ISERROR(SEARCH("0",A1)))</formula>
    </cfRule>
    <cfRule type="containsText" dxfId="0" priority="3" operator="containsText" text="0">
      <formula>NOT(ISERROR(SEARCH("0",A1)))</formula>
    </cfRule>
  </conditionalFormatting>
  <conditionalFormatting sqref="P12">
    <cfRule type="cellIs" dxfId="24" priority="9" operator="equal">
      <formula>0</formula>
    </cfRule>
  </conditionalFormatting>
  <conditionalFormatting sqref="V38">
    <cfRule type="containsText" dxfId="23" priority="7" operator="containsText" text="0">
      <formula>NOT(ISERROR(SEARCH("0",V38)))</formula>
    </cfRule>
  </conditionalFormatting>
  <conditionalFormatting sqref="I10">
    <cfRule type="cellIs" dxfId="22" priority="2" operator="equal">
      <formula>0</formula>
    </cfRule>
  </conditionalFormatting>
  <conditionalFormatting sqref="G2:W40">
    <cfRule type="cellIs" dxfId="8" priority="1" operator="equal">
      <formula>0</formula>
    </cfRule>
  </conditionalFormatting>
  <pageMargins left="0.75" right="0.75" top="1" bottom="1" header="0.5" footer="0.5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2" operator="containsText" id="{44E49FAF-7998-424A-A850-6B6AD81B3D7D}">
            <xm:f>NOT(ISERROR(SEARCH(-1,D11)))</xm:f>
            <xm:f>-1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D11</xm:sqref>
        </x14:conditionalFormatting>
        <x14:conditionalFormatting xmlns:xm="http://schemas.microsoft.com/office/excel/2006/main">
          <x14:cfRule type="containsText" priority="11" operator="containsText" id="{58D6F993-E7BB-41C7-9D8D-DBC3F5B5A6B4}">
            <xm:f>NOT(ISERROR(SEARCH(-1,A1)))</xm:f>
            <xm:f>-1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A1:X40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8" sqref="C8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5">
      <c r="A2" s="2"/>
      <c r="B2" s="5" t="s">
        <v>160</v>
      </c>
      <c r="C2" s="2"/>
    </row>
    <row r="3" spans="1:5" x14ac:dyDescent="0.3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5">
      <c r="A4" s="6">
        <v>2</v>
      </c>
      <c r="B4" s="2" t="s">
        <v>46</v>
      </c>
      <c r="C4" s="2"/>
      <c r="E4" s="1">
        <v>5</v>
      </c>
    </row>
    <row r="5" spans="1:5" x14ac:dyDescent="0.35">
      <c r="A5" s="6">
        <v>3</v>
      </c>
      <c r="B5" s="2" t="s">
        <v>104</v>
      </c>
      <c r="C5" s="34">
        <f>SUMIF(Dataset!H:H, "&gt;20")</f>
        <v>1473.0000000000002</v>
      </c>
      <c r="E5" s="1">
        <v>10</v>
      </c>
    </row>
    <row r="6" spans="1:5" x14ac:dyDescent="0.35">
      <c r="A6" s="6">
        <v>4</v>
      </c>
      <c r="B6" s="2" t="s">
        <v>106</v>
      </c>
      <c r="C6" s="2"/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G4" sqref="G4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41" customFormat="1" ht="21" x14ac:dyDescent="0.5">
      <c r="A1" s="42" t="s">
        <v>55</v>
      </c>
      <c r="B1" s="41" t="s">
        <v>164</v>
      </c>
    </row>
    <row r="2" spans="1:7" s="41" customFormat="1" ht="21" x14ac:dyDescent="0.5">
      <c r="B2" s="41" t="s">
        <v>161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8" t="s">
        <v>162</v>
      </c>
      <c r="B4" s="1"/>
      <c r="C4" s="1"/>
      <c r="D4" s="1"/>
      <c r="E4" s="1"/>
      <c r="F4" s="1"/>
      <c r="G4" s="1"/>
    </row>
    <row r="5" spans="1:7" ht="14.5" x14ac:dyDescent="0.3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5" x14ac:dyDescent="0.35">
      <c r="A6" s="7" t="s">
        <v>40</v>
      </c>
      <c r="B6" s="12">
        <f>VLOOKUP(A6,Dataset!$A$1:$X$40,7,0)</f>
        <v>2.7</v>
      </c>
      <c r="C6" s="12">
        <f>VLOOKUP(A6,Dataset!$A$1:$X$40,14,0)</f>
        <v>7.6</v>
      </c>
      <c r="D6" s="12">
        <f>VLOOKUP(A6,Dataset!$A$1:$X$40,18,0)</f>
        <v>4.2</v>
      </c>
      <c r="E6" s="12">
        <f>VLOOKUP(A6,Dataset!$A$1:$X$40,20,0)</f>
        <v>8.9</v>
      </c>
      <c r="F6" s="8">
        <f>VLOOKUP(A6,Dataset!$A$1:$X$40,22,0)</f>
        <v>4.2</v>
      </c>
    </row>
    <row r="7" spans="1:7" ht="14.5" x14ac:dyDescent="0.35">
      <c r="A7" s="7" t="s">
        <v>4</v>
      </c>
      <c r="B7" s="12">
        <f>VLOOKUP(A7,Dataset!$A$1:$X$40,7,0)</f>
        <v>2.7</v>
      </c>
      <c r="C7" s="12">
        <f>VLOOKUP(A7,Dataset!$A$1:$X$40,14,0)</f>
        <v>7.6</v>
      </c>
      <c r="D7" s="12">
        <f>VLOOKUP(A7,Dataset!$A$1:$X$40,18,0)</f>
        <v>4.2</v>
      </c>
      <c r="E7" s="12">
        <f>VLOOKUP(A7,Dataset!$A$1:$X$40,20,0)</f>
        <v>8.9</v>
      </c>
      <c r="F7" s="8">
        <f>VLOOKUP(A7,Dataset!$A$1:$X$40,22,0)</f>
        <v>4.2</v>
      </c>
    </row>
    <row r="8" spans="1:7" ht="14.5" x14ac:dyDescent="0.35">
      <c r="A8" s="7" t="s">
        <v>7</v>
      </c>
      <c r="B8" s="12">
        <f>VLOOKUP(A8,Dataset!$A$1:$X$40,7,0)</f>
        <v>3.6</v>
      </c>
      <c r="C8" s="12">
        <f>VLOOKUP(A8,Dataset!$A$1:$X$40,14,0)</f>
        <v>11.1</v>
      </c>
      <c r="D8" s="12">
        <f>VLOOKUP(A8,Dataset!$A$1:$X$40,18,0)</f>
        <v>5.8</v>
      </c>
      <c r="E8" s="12">
        <f>VLOOKUP(A8,Dataset!$A$1:$X$40,20,0)</f>
        <v>12.2</v>
      </c>
      <c r="F8" s="8">
        <f>VLOOKUP(A8,Dataset!$A$1:$X$40,22,0)</f>
        <v>5.8</v>
      </c>
    </row>
    <row r="9" spans="1:7" ht="14.5" x14ac:dyDescent="0.35">
      <c r="A9" s="7" t="s">
        <v>8</v>
      </c>
      <c r="B9" s="12">
        <f>VLOOKUP(A9,Dataset!$A$1:$X$40,7,0)</f>
        <v>4.9000000000000004</v>
      </c>
      <c r="C9" s="12">
        <f>VLOOKUP(A9,Dataset!$A$1:$X$40,14,0)</f>
        <v>13.3</v>
      </c>
      <c r="D9" s="12">
        <f>VLOOKUP(A9,Dataset!$A$1:$X$40,18,0)</f>
        <v>8.1</v>
      </c>
      <c r="E9" s="12">
        <f>VLOOKUP(A9,Dataset!$A$1:$X$40,20,0)</f>
        <v>17</v>
      </c>
      <c r="F9" s="8">
        <f>VLOOKUP(A9,Dataset!$A$1:$X$40,22,0)</f>
        <v>8.1</v>
      </c>
    </row>
    <row r="10" spans="1:7" ht="14.5" x14ac:dyDescent="0.35">
      <c r="A10" s="7" t="s">
        <v>11</v>
      </c>
      <c r="B10" s="12">
        <f>VLOOKUP(A10,Dataset!$A$1:$X$40,7,0)</f>
        <v>9.4</v>
      </c>
      <c r="C10" s="12">
        <f>VLOOKUP(A10,Dataset!$A$1:$X$40,14,0)</f>
        <v>28.3</v>
      </c>
      <c r="D10" s="12">
        <f>VLOOKUP(A10,Dataset!$A$1:$X$40,18,0)</f>
        <v>16.100000000000001</v>
      </c>
      <c r="E10" s="12">
        <f>VLOOKUP(A10,Dataset!$A$1:$X$40,20,0)</f>
        <v>32.799999999999997</v>
      </c>
      <c r="F10" s="8">
        <f>VLOOKUP(A10,Dataset!$A$1:$X$40,22,0)</f>
        <v>16.100000000000001</v>
      </c>
    </row>
    <row r="11" spans="1:7" ht="14.5" x14ac:dyDescent="0.35">
      <c r="A11" s="7" t="s">
        <v>12</v>
      </c>
      <c r="B11" s="12">
        <f>VLOOKUP(A11,Dataset!$A$1:$X$40,7,0)</f>
        <v>11.6</v>
      </c>
      <c r="C11" s="12">
        <f>VLOOKUP(A11,Dataset!$A$1:$X$40,14,0)</f>
        <v>35.200000000000003</v>
      </c>
      <c r="D11" s="12">
        <f>VLOOKUP(A11,Dataset!$A$1:$X$40,18,0)</f>
        <v>21.3</v>
      </c>
      <c r="E11" s="12">
        <f>VLOOKUP(A11,Dataset!$A$1:$X$40,20,0)</f>
        <v>43</v>
      </c>
      <c r="F11" s="8">
        <f>VLOOKUP(A11,Dataset!$A$1:$X$40,22,0)</f>
        <v>21.3</v>
      </c>
    </row>
    <row r="12" spans="1:7" ht="14.5" x14ac:dyDescent="0.35">
      <c r="A12" s="7" t="s">
        <v>14</v>
      </c>
      <c r="B12" s="12">
        <f>VLOOKUP(A12,Dataset!$A$1:$X$40,7,0)</f>
        <v>18.399999999999999</v>
      </c>
      <c r="C12" s="12">
        <f>VLOOKUP(A12,Dataset!$A$1:$X$40,14,0)</f>
        <v>55.6</v>
      </c>
      <c r="D12" s="12">
        <f>VLOOKUP(A12,Dataset!$A$1:$X$40,18,0)</f>
        <v>33.799999999999997</v>
      </c>
      <c r="E12" s="12">
        <f>VLOOKUP(A12,Dataset!$A$1:$X$40,20,0)</f>
        <v>67.900000000000006</v>
      </c>
      <c r="F12" s="8">
        <f>VLOOKUP(A12,Dataset!$A$1:$X$40,22,0)</f>
        <v>33.799999999999997</v>
      </c>
    </row>
    <row r="13" spans="1:7" ht="14.5" x14ac:dyDescent="0.35">
      <c r="A13" s="7" t="s">
        <v>15</v>
      </c>
      <c r="B13" s="12">
        <f>VLOOKUP(A13,Dataset!$A$1:$X$40,7,0)</f>
        <v>0</v>
      </c>
      <c r="C13" s="12">
        <f>VLOOKUP(A13,Dataset!$A$1:$X$40,14,0)</f>
        <v>0</v>
      </c>
      <c r="D13" s="12">
        <f>VLOOKUP(A13,Dataset!$A$1:$X$40,18,0)</f>
        <v>0</v>
      </c>
      <c r="E13" s="12">
        <f>VLOOKUP(A13,Dataset!$A$1:$X$40,20,0)</f>
        <v>0</v>
      </c>
      <c r="F13" s="8">
        <f>VLOOKUP(A13,Dataset!$A$1:$X$40,22,0)</f>
        <v>0</v>
      </c>
    </row>
    <row r="14" spans="1:7" ht="14.5" x14ac:dyDescent="0.35">
      <c r="A14" s="7" t="s">
        <v>16</v>
      </c>
      <c r="B14" s="12">
        <f>VLOOKUP(A14,Dataset!$A$1:$X$40,7,0)</f>
        <v>21.9</v>
      </c>
      <c r="C14" s="12">
        <f>VLOOKUP(A14,Dataset!$A$1:$X$40,14,0)</f>
        <v>61.5</v>
      </c>
      <c r="D14" s="12">
        <f>VLOOKUP(A14,Dataset!$A$1:$X$40,18,0)</f>
        <v>40.1</v>
      </c>
      <c r="E14" s="12">
        <f>VLOOKUP(A14,Dataset!$A$1:$X$40,20,0)</f>
        <v>76.599999999999994</v>
      </c>
      <c r="F14" s="8">
        <f>VLOOKUP(A14,Dataset!$A$1:$X$40,22,0)</f>
        <v>40.1</v>
      </c>
    </row>
    <row r="15" spans="1:7" ht="14.5" x14ac:dyDescent="0.35">
      <c r="A15" s="7" t="s">
        <v>18</v>
      </c>
      <c r="B15" s="12">
        <f>VLOOKUP(A15,Dataset!$A$1:$X$40,7,0)</f>
        <v>26.8</v>
      </c>
      <c r="C15" s="12">
        <f>VLOOKUP(A15,Dataset!$A$1:$X$40,14,0)</f>
        <v>79.599999999999994</v>
      </c>
      <c r="D15" s="12">
        <f>VLOOKUP(A15,Dataset!$A$1:$X$40,18,0)</f>
        <v>47.9</v>
      </c>
      <c r="E15" s="12">
        <f>VLOOKUP(A15,Dataset!$A$1:$X$40,20,0)</f>
        <v>96.8</v>
      </c>
      <c r="F15" s="8">
        <f>VLOOKUP(A15,Dataset!$A$1:$X$40,22,0)</f>
        <v>47.9</v>
      </c>
    </row>
    <row r="16" spans="1:7" ht="14.5" x14ac:dyDescent="0.35">
      <c r="A16" s="7" t="s">
        <v>20</v>
      </c>
      <c r="B16" s="12">
        <f>VLOOKUP(A16,Dataset!$A$1:$X$40,7,0)</f>
        <v>28.5</v>
      </c>
      <c r="C16" s="12">
        <f>VLOOKUP(A16,Dataset!$A$1:$X$40,14,0)</f>
        <v>85.4</v>
      </c>
      <c r="D16" s="12">
        <f>VLOOKUP(A16,Dataset!$A$1:$X$40,18,0)</f>
        <v>52.3</v>
      </c>
      <c r="E16" s="12">
        <f>VLOOKUP(A16,Dataset!$A$1:$X$40,20,0)</f>
        <v>106.1</v>
      </c>
      <c r="F16" s="8">
        <f>VLOOKUP(A16,Dataset!$A$1:$X$40,22,0)</f>
        <v>52.3</v>
      </c>
    </row>
    <row r="17" spans="1:6" ht="14.5" x14ac:dyDescent="0.35">
      <c r="A17" s="7" t="s">
        <v>22</v>
      </c>
      <c r="B17" s="12">
        <f>VLOOKUP(A17,Dataset!$A$1:$X$40,7,0)</f>
        <v>30.7</v>
      </c>
      <c r="C17" s="12">
        <f>VLOOKUP(A17,Dataset!$A$1:$X$40,14,0)</f>
        <v>92.1</v>
      </c>
      <c r="D17" s="12">
        <f>VLOOKUP(A17,Dataset!$A$1:$X$40,18,0)</f>
        <v>57</v>
      </c>
      <c r="E17" s="12">
        <f>VLOOKUP(A17,Dataset!$A$1:$X$40,20,0)</f>
        <v>115.1</v>
      </c>
      <c r="F17" s="8">
        <f>VLOOKUP(A17,Dataset!$A$1:$X$40,22,0)</f>
        <v>57</v>
      </c>
    </row>
    <row r="18" spans="1:6" ht="14.5" x14ac:dyDescent="0.35">
      <c r="A18" s="7" t="s">
        <v>23</v>
      </c>
      <c r="B18" s="12">
        <f>VLOOKUP(A18,Dataset!A13:X52,7,0)</f>
        <v>33.799999999999997</v>
      </c>
      <c r="C18" s="12">
        <f>VLOOKUP(A18,Dataset!$A$1:$X$40,14,0)</f>
        <v>101.3</v>
      </c>
      <c r="D18" s="12">
        <f>VLOOKUP(A18,Dataset!$A$1:$X$40,18,0)</f>
        <v>61.4</v>
      </c>
      <c r="E18" s="12">
        <f>VLOOKUP(A18,Dataset!$A$1:$X$40,20,0)</f>
        <v>124.4</v>
      </c>
      <c r="F18" s="8">
        <f>VLOOKUP(A18,Dataset!$A$1:$X$40,22,0)</f>
        <v>61.4</v>
      </c>
    </row>
    <row r="19" spans="1:6" ht="14.5" x14ac:dyDescent="0.35">
      <c r="A19" s="7" t="s">
        <v>24</v>
      </c>
      <c r="B19" s="12">
        <f>VLOOKUP(A19,Dataset!A14:X53,7,0)</f>
        <v>34.700000000000003</v>
      </c>
      <c r="C19" s="12">
        <f>VLOOKUP(A19,Dataset!$A$1:$X$40,14,0)</f>
        <v>106.1</v>
      </c>
      <c r="D19" s="12">
        <f>VLOOKUP(A19,Dataset!$A$1:$X$40,18,0)</f>
        <v>63.6</v>
      </c>
      <c r="E19" s="12">
        <f>VLOOKUP(A19,Dataset!$A$1:$X$40,20,0)</f>
        <v>128.6</v>
      </c>
      <c r="F19" s="8">
        <f>VLOOKUP(A19,Dataset!$A$1:$X$40,22,0)</f>
        <v>63.6</v>
      </c>
    </row>
    <row r="20" spans="1:6" ht="14.5" x14ac:dyDescent="0.35">
      <c r="A20" s="7" t="s">
        <v>28</v>
      </c>
      <c r="B20" s="12">
        <f>VLOOKUP(A20,Dataset!A15:X54,7,0)</f>
        <v>0</v>
      </c>
      <c r="C20" s="12">
        <f>VLOOKUP(A20,Dataset!$A$1:$X$40,14,0)</f>
        <v>0</v>
      </c>
      <c r="D20" s="12">
        <f>VLOOKUP(A20,Dataset!$A$1:$X$40,18,0)</f>
        <v>0</v>
      </c>
      <c r="E20" s="12">
        <f>VLOOKUP(A20,Dataset!$A$1:$X$40,20,0)</f>
        <v>0</v>
      </c>
      <c r="F20" s="8">
        <f>VLOOKUP(A20,Dataset!$A$1:$X$40,22,0)</f>
        <v>0</v>
      </c>
    </row>
    <row r="21" spans="1:6" ht="14.5" x14ac:dyDescent="0.35">
      <c r="A21" s="7" t="s">
        <v>57</v>
      </c>
      <c r="B21" s="12">
        <f>VLOOKUP(A21,Dataset!A16:X55,7,0)</f>
        <v>41.3</v>
      </c>
      <c r="C21" s="12">
        <f>VLOOKUP(A21,Dataset!$A$1:$X$40,14,0)</f>
        <v>124.4</v>
      </c>
      <c r="D21" s="12">
        <f>VLOOKUP(A21,Dataset!$A$1:$X$40,18,0)</f>
        <v>75</v>
      </c>
      <c r="E21" s="12">
        <f>VLOOKUP(A21,Dataset!$A$1:$X$40,20,0)</f>
        <v>151.5</v>
      </c>
      <c r="F21" s="8">
        <f>VLOOKUP(A21,Dataset!$A$1:$X$40,22,0)</f>
        <v>75</v>
      </c>
    </row>
    <row r="22" spans="1:6" ht="14.5" x14ac:dyDescent="0.35">
      <c r="A22" s="7" t="s">
        <v>58</v>
      </c>
      <c r="B22" s="12">
        <f>VLOOKUP(A22,Dataset!A17:X56,7,0)</f>
        <v>-1</v>
      </c>
      <c r="C22" s="12">
        <f>VLOOKUP(A22,Dataset!$A$1:$X$40,14,0)</f>
        <v>-1</v>
      </c>
      <c r="D22" s="12">
        <f>VLOOKUP(A22,Dataset!$A$1:$X$40,18,0)</f>
        <v>-1</v>
      </c>
      <c r="E22" s="12">
        <f>VLOOKUP(A22,Dataset!$A$1:$X$40,20,0)</f>
        <v>-1</v>
      </c>
      <c r="F22" s="8">
        <f>VLOOKUP(A22,Dataset!$A$1:$X$40,22,0)</f>
        <v>-1</v>
      </c>
    </row>
    <row r="23" spans="1:6" ht="14.5" x14ac:dyDescent="0.35">
      <c r="A23" s="7" t="s">
        <v>31</v>
      </c>
      <c r="B23" s="12">
        <f>VLOOKUP(A23,Dataset!A18:X57,7,0)</f>
        <v>45</v>
      </c>
      <c r="C23" s="12">
        <f>VLOOKUP(A23,Dataset!$A$1:$X$40,14,0)</f>
        <v>133.4</v>
      </c>
      <c r="D23" s="12">
        <f>VLOOKUP(A23,Dataset!$A$1:$X$40,18,0)</f>
        <v>79.400000000000006</v>
      </c>
      <c r="E23" s="12">
        <f>VLOOKUP(A23,Dataset!$A$1:$X$40,20,0)</f>
        <v>160.9</v>
      </c>
      <c r="F23" s="8">
        <f>VLOOKUP(A23,Dataset!$A$1:$X$40,22,0)</f>
        <v>79.400000000000006</v>
      </c>
    </row>
    <row r="24" spans="1:6" ht="14.5" x14ac:dyDescent="0.35">
      <c r="A24" s="7" t="s">
        <v>32</v>
      </c>
      <c r="B24" s="12">
        <f>VLOOKUP(A24,Dataset!A19:X58,7,0)</f>
        <v>-1</v>
      </c>
      <c r="C24" s="12">
        <f>VLOOKUP(A24,Dataset!$A$1:$X$40,14,0)</f>
        <v>-1</v>
      </c>
      <c r="D24" s="12">
        <f>VLOOKUP(A24,Dataset!$A$1:$X$40,18,0)</f>
        <v>-1</v>
      </c>
      <c r="E24" s="12">
        <f>VLOOKUP(A24,Dataset!$A$1:$X$40,20,0)</f>
        <v>-1</v>
      </c>
      <c r="F24" s="8">
        <f>VLOOKUP(A24,Dataset!$A$1:$X$40,22,0)</f>
        <v>-1</v>
      </c>
    </row>
    <row r="25" spans="1:6" ht="14.5" x14ac:dyDescent="0.35">
      <c r="A25" s="7" t="s">
        <v>34</v>
      </c>
      <c r="B25" s="12">
        <f>VLOOKUP(A25,Dataset!A20:X59,7,0)</f>
        <v>43.3</v>
      </c>
      <c r="C25" s="12">
        <f>VLOOKUP(A25,Dataset!$A$1:$X$40,14,0)</f>
        <v>128.6</v>
      </c>
      <c r="D25" s="12">
        <f>VLOOKUP(A25,Dataset!$A$1:$X$40,18,0)</f>
        <v>79.400000000000006</v>
      </c>
      <c r="E25" s="12">
        <f>VLOOKUP(A25,Dataset!$A$1:$X$40,20,0)</f>
        <v>160.9</v>
      </c>
      <c r="F25" s="8">
        <f>VLOOKUP(A25,Dataset!$A$1:$X$40,22,0)</f>
        <v>79.400000000000006</v>
      </c>
    </row>
    <row r="26" spans="1:6" ht="14.5" x14ac:dyDescent="0.35">
      <c r="A26" s="7" t="s">
        <v>37</v>
      </c>
      <c r="B26" s="12">
        <f>VLOOKUP(A26,Dataset!A21:X60,7,0)</f>
        <v>49.1</v>
      </c>
      <c r="C26" s="12">
        <f>VLOOKUP(A26,Dataset!$A$1:$X$40,14,0)</f>
        <v>146.80000000000001</v>
      </c>
      <c r="D26" s="12">
        <f>VLOOKUP(A26,Dataset!$A$1:$X$40,18,0)</f>
        <v>90.9</v>
      </c>
      <c r="E26" s="12">
        <f>VLOOKUP(A26,Dataset!$A$1:$X$40,20,0)</f>
        <v>183.5</v>
      </c>
      <c r="F26" s="8">
        <f>VLOOKUP(A26,Dataset!$A$1:$X$40,22,0)</f>
        <v>90.9</v>
      </c>
    </row>
    <row r="27" spans="1:6" ht="14.5" x14ac:dyDescent="0.35">
      <c r="A27" s="7" t="s">
        <v>39</v>
      </c>
      <c r="B27" s="12">
        <f>VLOOKUP(A27,Dataset!A22:X61,7,0)</f>
        <v>51.8</v>
      </c>
      <c r="C27" s="12">
        <f>VLOOKUP(A27,Dataset!$A$1:$X$40,14,0)</f>
        <v>156.4</v>
      </c>
      <c r="D27" s="12">
        <f>VLOOKUP(A27,Dataset!$A$1:$X$40,18,0)</f>
        <v>93.1</v>
      </c>
      <c r="E27" s="12">
        <f>VLOOKUP(A27,Dataset!$A$1:$X$40,20,0)</f>
        <v>188.1</v>
      </c>
      <c r="F27" s="8">
        <f>VLOOKUP(A27,Dataset!$A$1:$X$40,22,0)</f>
        <v>93.1</v>
      </c>
    </row>
    <row r="28" spans="1:6" ht="14.5" x14ac:dyDescent="0.35">
      <c r="A28" s="19" t="s">
        <v>82</v>
      </c>
      <c r="B28" s="31">
        <f>MIN(B$6:B$27)</f>
        <v>-1</v>
      </c>
      <c r="C28" s="31">
        <f>MIN(C$6:C$27)</f>
        <v>-1</v>
      </c>
      <c r="D28" s="31">
        <f t="shared" ref="D28:F28" si="0">MIN(D$6:D$27)</f>
        <v>-1</v>
      </c>
      <c r="E28" s="31">
        <f t="shared" si="0"/>
        <v>-1</v>
      </c>
      <c r="F28" s="31">
        <f t="shared" si="0"/>
        <v>-1</v>
      </c>
    </row>
    <row r="29" spans="1:6" ht="14.5" x14ac:dyDescent="0.35">
      <c r="A29" s="19" t="s">
        <v>83</v>
      </c>
      <c r="B29" s="31">
        <f>MAX(B$6:B$27)</f>
        <v>51.8</v>
      </c>
      <c r="C29" s="31">
        <f t="shared" ref="C29:F29" si="1">MAX(C$6:C$27)</f>
        <v>156.4</v>
      </c>
      <c r="D29" s="31">
        <f t="shared" si="1"/>
        <v>93.1</v>
      </c>
      <c r="E29" s="31">
        <f t="shared" si="1"/>
        <v>188.1</v>
      </c>
      <c r="F29" s="31">
        <f t="shared" si="1"/>
        <v>93.1</v>
      </c>
    </row>
    <row r="30" spans="1:6" ht="14.5" x14ac:dyDescent="0.35">
      <c r="A30" s="19" t="s">
        <v>84</v>
      </c>
      <c r="B30" s="31">
        <f>AVERAGE(B$6:B$27)</f>
        <v>20.827272727272728</v>
      </c>
      <c r="C30" s="31">
        <f t="shared" ref="C30:F30" si="2">AVERAGE(C$6:C$27)</f>
        <v>62.377272727272725</v>
      </c>
      <c r="D30" s="31">
        <f t="shared" si="2"/>
        <v>37.800000000000004</v>
      </c>
      <c r="E30" s="31">
        <f t="shared" si="2"/>
        <v>76.418181818181822</v>
      </c>
      <c r="F30" s="31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C23" sqref="C23"/>
    </sheetView>
  </sheetViews>
  <sheetFormatPr defaultColWidth="11" defaultRowHeight="14.5" x14ac:dyDescent="0.35"/>
  <cols>
    <col min="1" max="1" width="39.796875" style="1" bestFit="1" customWidth="1"/>
    <col min="2" max="16384" width="11" style="1"/>
  </cols>
  <sheetData>
    <row r="1" spans="1:10" s="41" customFormat="1" ht="21" x14ac:dyDescent="0.5">
      <c r="A1" s="42" t="s">
        <v>56</v>
      </c>
      <c r="B1" s="41" t="s">
        <v>174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151</v>
      </c>
    </row>
    <row r="5" spans="1:10" ht="18.5" x14ac:dyDescent="0.45">
      <c r="A5" s="43" t="s">
        <v>53</v>
      </c>
      <c r="B5" s="40" t="s">
        <v>177</v>
      </c>
    </row>
    <row r="6" spans="1:10" ht="18.5" x14ac:dyDescent="0.45">
      <c r="A6" s="43" t="s">
        <v>153</v>
      </c>
      <c r="B6" s="40" t="s">
        <v>178</v>
      </c>
    </row>
    <row r="7" spans="1:10" ht="18.5" x14ac:dyDescent="0.45">
      <c r="A7" s="43"/>
      <c r="B7" s="40"/>
    </row>
    <row r="9" spans="1:10" ht="23.5" x14ac:dyDescent="0.55000000000000004">
      <c r="A9" s="18" t="s">
        <v>165</v>
      </c>
      <c r="I9" s="2"/>
      <c r="J9" s="2"/>
    </row>
    <row r="10" spans="1:10" x14ac:dyDescent="0.35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5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5" x14ac:dyDescent="0.55000000000000004">
      <c r="A14" s="18" t="s">
        <v>162</v>
      </c>
    </row>
    <row r="15" spans="1:10" x14ac:dyDescent="0.3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5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5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5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5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5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5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5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5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5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5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5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5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5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5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5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5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5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5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5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5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5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5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5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5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5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5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5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5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5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5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5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5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5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5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5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5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5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5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5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G22"/>
  <sheetViews>
    <sheetView topLeftCell="A2" zoomScale="103" zoomScaleNormal="120" workbookViewId="0">
      <selection activeCell="B10" sqref="B10"/>
    </sheetView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7" ht="21" x14ac:dyDescent="0.5">
      <c r="A1" s="42" t="s">
        <v>85</v>
      </c>
      <c r="B1" s="41" t="s">
        <v>167</v>
      </c>
    </row>
    <row r="2" spans="1:7" ht="18.5" x14ac:dyDescent="0.45">
      <c r="B2" s="40" t="s">
        <v>166</v>
      </c>
    </row>
    <row r="5" spans="1:7" ht="14.5" x14ac:dyDescent="0.35">
      <c r="B5" s="1" t="s">
        <v>151</v>
      </c>
    </row>
    <row r="6" spans="1:7" ht="14.5" x14ac:dyDescent="0.35">
      <c r="A6" s="3" t="s">
        <v>53</v>
      </c>
      <c r="B6" s="1" t="s">
        <v>180</v>
      </c>
    </row>
    <row r="7" spans="1:7" ht="14.5" x14ac:dyDescent="0.35">
      <c r="A7" s="3" t="s">
        <v>153</v>
      </c>
      <c r="B7" s="1" t="s">
        <v>181</v>
      </c>
    </row>
    <row r="10" spans="1:7" ht="23.5" x14ac:dyDescent="0.55000000000000004">
      <c r="A10" s="18" t="s">
        <v>162</v>
      </c>
    </row>
    <row r="11" spans="1:7" ht="14.5" x14ac:dyDescent="0.35">
      <c r="A11" s="32" t="s">
        <v>86</v>
      </c>
      <c r="B11" s="17" t="s">
        <v>87</v>
      </c>
      <c r="C11" s="17" t="s">
        <v>88</v>
      </c>
      <c r="G11" s="48"/>
    </row>
    <row r="12" spans="1:7" ht="14.5" x14ac:dyDescent="0.35">
      <c r="A12" s="32">
        <v>44927</v>
      </c>
      <c r="B12" s="17" t="s">
        <v>59</v>
      </c>
      <c r="C12" s="17">
        <v>200</v>
      </c>
      <c r="G12" s="48"/>
    </row>
    <row r="13" spans="1:7" ht="14.5" x14ac:dyDescent="0.35">
      <c r="A13" s="32">
        <v>44928</v>
      </c>
      <c r="B13" s="17" t="s">
        <v>60</v>
      </c>
      <c r="C13" s="17" t="e">
        <v>#N/A</v>
      </c>
      <c r="G13" s="48"/>
    </row>
    <row r="14" spans="1:7" ht="14.5" x14ac:dyDescent="0.35">
      <c r="A14" s="32">
        <v>44929</v>
      </c>
      <c r="B14" s="17" t="s">
        <v>61</v>
      </c>
      <c r="C14" s="17">
        <v>50</v>
      </c>
      <c r="G14" s="48"/>
    </row>
    <row r="15" spans="1:7" ht="14.5" x14ac:dyDescent="0.35">
      <c r="A15" s="32">
        <v>44930</v>
      </c>
      <c r="B15" s="17" t="s">
        <v>62</v>
      </c>
      <c r="C15" s="17" t="e">
        <v>#N/A</v>
      </c>
      <c r="G15" s="48"/>
    </row>
    <row r="16" spans="1:7" ht="14.5" x14ac:dyDescent="0.35">
      <c r="A16" s="32">
        <v>44931</v>
      </c>
      <c r="B16" s="17" t="s">
        <v>63</v>
      </c>
      <c r="C16" s="17">
        <v>10</v>
      </c>
      <c r="G16" s="48"/>
    </row>
    <row r="17" spans="1:7" ht="14.5" x14ac:dyDescent="0.35">
      <c r="A17" s="32">
        <v>44932</v>
      </c>
      <c r="B17" s="17" t="s">
        <v>154</v>
      </c>
      <c r="C17" s="17">
        <v>150</v>
      </c>
      <c r="G17" s="48"/>
    </row>
    <row r="18" spans="1:7" ht="14.5" x14ac:dyDescent="0.35">
      <c r="A18" s="32">
        <v>44933</v>
      </c>
      <c r="B18" s="17" t="s">
        <v>155</v>
      </c>
      <c r="C18" s="17">
        <v>80</v>
      </c>
      <c r="G18" s="48"/>
    </row>
    <row r="19" spans="1:7" ht="14.5" x14ac:dyDescent="0.35">
      <c r="A19" s="32">
        <v>44934</v>
      </c>
      <c r="B19" s="17" t="s">
        <v>156</v>
      </c>
      <c r="C19" s="17" t="e">
        <v>#N/A</v>
      </c>
      <c r="G19" s="48"/>
    </row>
    <row r="20" spans="1:7" ht="14.5" x14ac:dyDescent="0.35">
      <c r="A20" s="32">
        <v>44935</v>
      </c>
      <c r="B20" s="17" t="s">
        <v>157</v>
      </c>
      <c r="C20" s="17">
        <v>30</v>
      </c>
      <c r="G20" s="48"/>
    </row>
    <row r="21" spans="1:7" ht="14.5" x14ac:dyDescent="0.35">
      <c r="A21" s="32">
        <v>44936</v>
      </c>
      <c r="B21" s="17" t="s">
        <v>158</v>
      </c>
      <c r="C21" s="17" t="e">
        <v>#N/A</v>
      </c>
    </row>
    <row r="22" spans="1:7" ht="14.5" x14ac:dyDescent="0.35">
      <c r="B22" s="17" t="s">
        <v>159</v>
      </c>
      <c r="C22" s="25">
        <f>SUM(IFERROR(C12:C21,20))</f>
        <v>20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="96" zoomScaleNormal="96" workbookViewId="0">
      <selection activeCell="K12" sqref="K12"/>
    </sheetView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4" ht="21" x14ac:dyDescent="0.5">
      <c r="A1" s="42" t="s">
        <v>98</v>
      </c>
      <c r="B1" s="41" t="s">
        <v>175</v>
      </c>
    </row>
    <row r="3" spans="1:14" ht="14.5" x14ac:dyDescent="0.35">
      <c r="B3" s="1" t="s">
        <v>151</v>
      </c>
    </row>
    <row r="4" spans="1:14" ht="18.5" x14ac:dyDescent="0.45">
      <c r="A4" s="43" t="s">
        <v>53</v>
      </c>
      <c r="B4" s="1"/>
      <c r="C4" s="2" t="s">
        <v>179</v>
      </c>
    </row>
    <row r="5" spans="1:14" ht="18.5" x14ac:dyDescent="0.45">
      <c r="A5" s="43" t="s">
        <v>153</v>
      </c>
      <c r="B5" s="51" t="s">
        <v>182</v>
      </c>
      <c r="C5" s="51"/>
      <c r="D5" s="51"/>
      <c r="E5" s="51"/>
      <c r="F5" s="51"/>
      <c r="G5" s="51"/>
      <c r="H5" s="51"/>
      <c r="I5" s="51"/>
      <c r="J5" s="51"/>
      <c r="K5" s="51"/>
    </row>
    <row r="6" spans="1:14" ht="14.5" x14ac:dyDescent="0.35">
      <c r="A6" s="3"/>
      <c r="B6" s="51">
        <v>2</v>
      </c>
      <c r="C6" s="51"/>
      <c r="D6" s="51"/>
      <c r="E6" s="51"/>
      <c r="F6" s="51"/>
      <c r="G6" s="51"/>
      <c r="H6" s="51"/>
      <c r="I6" s="51"/>
      <c r="J6" s="51"/>
      <c r="K6" s="51"/>
    </row>
    <row r="8" spans="1:14" ht="23.5" x14ac:dyDescent="0.55000000000000004">
      <c r="A8" s="18" t="s">
        <v>162</v>
      </c>
      <c r="M8" s="18" t="s">
        <v>163</v>
      </c>
    </row>
    <row r="9" spans="1:14" ht="14.5" x14ac:dyDescent="0.3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5" x14ac:dyDescent="0.3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5" x14ac:dyDescent="0.3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5" x14ac:dyDescent="0.3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5" x14ac:dyDescent="0.3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5" x14ac:dyDescent="0.3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5" x14ac:dyDescent="0.3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5" x14ac:dyDescent="0.3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5" x14ac:dyDescent="0.3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5" x14ac:dyDescent="0.3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5" x14ac:dyDescent="0.55000000000000004">
      <c r="A21" s="18" t="s">
        <v>168</v>
      </c>
    </row>
    <row r="22" spans="1:14" ht="14.5" x14ac:dyDescent="0.35">
      <c r="A22" s="14" t="s">
        <v>100</v>
      </c>
      <c r="B22" s="17" t="s">
        <v>101</v>
      </c>
      <c r="C22" s="16" t="s">
        <v>102</v>
      </c>
    </row>
    <row r="23" spans="1:14" ht="14.5" x14ac:dyDescent="0.35">
      <c r="A23" s="7">
        <v>10100</v>
      </c>
      <c r="B23" s="12">
        <v>10102</v>
      </c>
      <c r="C23" s="44">
        <f>INDEX($B$10:$J$18, MATCH(VLOOKUP($A23,$M$9:$N$18,2,0), $A$10:$A$18, 0), MATCH(VLOOKUP($B23,$M$9:$N$18,2,0),$B$9:$J$9, 0))</f>
        <v>95</v>
      </c>
    </row>
    <row r="24" spans="1:14" ht="14.5" x14ac:dyDescent="0.35">
      <c r="A24" s="7">
        <v>10100</v>
      </c>
      <c r="B24" s="12">
        <v>10104</v>
      </c>
      <c r="C24" s="44">
        <f t="shared" ref="C24:C27" si="0">INDEX($B$10:$J$18, MATCH(VLOOKUP($A24,$M$9:$N$18,2,0), $A$10:$A$18, 0), MATCH(VLOOKUP($B24,$M$9:$N$18,2,0),$B$9:$J$9, 0))</f>
        <v>-1</v>
      </c>
    </row>
    <row r="25" spans="1:14" ht="14.5" x14ac:dyDescent="0.35">
      <c r="A25" s="7">
        <v>10108</v>
      </c>
      <c r="B25" s="12">
        <v>10102</v>
      </c>
      <c r="C25" s="44">
        <f t="shared" si="0"/>
        <v>160</v>
      </c>
    </row>
    <row r="26" spans="1:14" ht="14.5" x14ac:dyDescent="0.35">
      <c r="A26" s="7">
        <v>10100</v>
      </c>
      <c r="B26" s="12">
        <v>10106</v>
      </c>
      <c r="C26" s="44">
        <f t="shared" si="0"/>
        <v>185</v>
      </c>
    </row>
    <row r="27" spans="1:14" ht="14.5" x14ac:dyDescent="0.35">
      <c r="A27" s="7">
        <v>10108</v>
      </c>
      <c r="B27" s="12">
        <v>10110</v>
      </c>
      <c r="C27" s="44">
        <f t="shared" si="0"/>
        <v>50</v>
      </c>
    </row>
    <row r="28" spans="1:14" ht="14.5" x14ac:dyDescent="0.35">
      <c r="A28" s="7">
        <v>10102</v>
      </c>
      <c r="B28" s="12">
        <v>10104</v>
      </c>
      <c r="C28" s="44">
        <f t="shared" ref="C24:C35" si="1">INDEX($B$10:$J$18, MATCH(VLOOKUP($A28,$M$9:$N$18,2,0), $A$10:$A$18, 0), MATCH(VLOOKUP($B28,$M$9:$N$18,2,0),$B$9:$J$9, 0))</f>
        <v>-1</v>
      </c>
    </row>
    <row r="29" spans="1:14" ht="14.5" x14ac:dyDescent="0.35">
      <c r="A29" s="7">
        <v>10106</v>
      </c>
      <c r="B29" s="12">
        <v>10108</v>
      </c>
      <c r="C29" s="44">
        <f t="shared" si="1"/>
        <v>70</v>
      </c>
    </row>
    <row r="30" spans="1:14" ht="14.5" x14ac:dyDescent="0.35">
      <c r="A30" s="7">
        <v>10102</v>
      </c>
      <c r="B30" s="12">
        <v>10106</v>
      </c>
      <c r="C30" s="44">
        <f t="shared" si="1"/>
        <v>90</v>
      </c>
    </row>
    <row r="31" spans="1:14" ht="14.5" x14ac:dyDescent="0.35">
      <c r="A31" s="7">
        <v>10110</v>
      </c>
      <c r="B31" s="12">
        <v>10114</v>
      </c>
      <c r="C31" s="44">
        <f t="shared" si="1"/>
        <v>180</v>
      </c>
    </row>
    <row r="32" spans="1:14" ht="14.5" x14ac:dyDescent="0.35">
      <c r="A32" s="7">
        <v>10104</v>
      </c>
      <c r="B32" s="12">
        <v>10106</v>
      </c>
      <c r="C32" s="44">
        <f t="shared" si="1"/>
        <v>60</v>
      </c>
    </row>
    <row r="33" spans="1:3" ht="14.5" x14ac:dyDescent="0.35">
      <c r="A33" s="7">
        <v>10110</v>
      </c>
      <c r="B33" s="12">
        <v>10112</v>
      </c>
      <c r="C33" s="44">
        <f t="shared" si="1"/>
        <v>115</v>
      </c>
    </row>
    <row r="34" spans="1:3" ht="14.5" x14ac:dyDescent="0.35">
      <c r="A34" s="7">
        <v>10100</v>
      </c>
      <c r="B34" s="12">
        <v>10114</v>
      </c>
      <c r="C34" s="44">
        <f t="shared" si="1"/>
        <v>480</v>
      </c>
    </row>
    <row r="35" spans="1:3" ht="14.5" x14ac:dyDescent="0.35">
      <c r="A35" s="9">
        <v>10112</v>
      </c>
      <c r="B35" s="13">
        <v>10116</v>
      </c>
      <c r="C35" s="44">
        <f t="shared" si="1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Vaishnavi 😄</cp:lastModifiedBy>
  <dcterms:created xsi:type="dcterms:W3CDTF">2015-02-10T17:33:11Z</dcterms:created>
  <dcterms:modified xsi:type="dcterms:W3CDTF">2023-12-09T18:38:55Z</dcterms:modified>
</cp:coreProperties>
</file>